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Visualizadores\Visualizador ministerial\acumulado gobierno\"/>
    </mc:Choice>
  </mc:AlternateContent>
  <bookViews>
    <workbookView xWindow="0" yWindow="0" windowWidth="28800" windowHeight="11280"/>
  </bookViews>
  <sheets>
    <sheet name="provincial" sheetId="1" r:id="rId1"/>
    <sheet name="provincial (2025)" sheetId="4" state="hidden" r:id="rId2"/>
    <sheet name="Hoja1 (2)" sheetId="2" state="hidden" r:id="rId3"/>
    <sheet name="calculos dic" sheetId="3" state="hidden" r:id="rId4"/>
  </sheets>
  <definedNames>
    <definedName name="_xlnm._FilterDatabase" localSheetId="3" hidden="1">'calculos dic'!$A$1:$J$747</definedName>
    <definedName name="_xlnm._FilterDatabase" localSheetId="2" hidden="1">'Hoja1 (2)'!$A$1:$G$97</definedName>
    <definedName name="_xlnm._FilterDatabase" localSheetId="0" hidden="1">provincial!$A$1:$G$97</definedName>
    <definedName name="_xlnm._FilterDatabase" localSheetId="1" hidden="1">'provincial (2025)'!$A$1:$H$97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22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H297" i="4" l="1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660" i="3" l="1"/>
  <c r="E659" i="3"/>
  <c r="E658" i="3"/>
  <c r="E657" i="3"/>
  <c r="E656" i="3"/>
  <c r="E655" i="3"/>
  <c r="E654" i="3"/>
  <c r="E653" i="3"/>
  <c r="E652" i="3"/>
  <c r="E651" i="3"/>
  <c r="E650" i="3"/>
  <c r="E649" i="3"/>
  <c r="E648" i="3"/>
  <c r="H654" i="3" l="1"/>
  <c r="H657" i="3"/>
  <c r="H648" i="3"/>
  <c r="H746" i="3"/>
  <c r="H743" i="3"/>
  <c r="H741" i="3"/>
  <c r="H739" i="3"/>
  <c r="H736" i="3"/>
  <c r="H729" i="3"/>
  <c r="H726" i="3"/>
  <c r="H724" i="3"/>
  <c r="H723" i="3"/>
  <c r="H721" i="3"/>
  <c r="H715" i="3"/>
  <c r="H709" i="3"/>
  <c r="H702" i="3"/>
  <c r="H699" i="3"/>
  <c r="H689" i="3"/>
  <c r="H688" i="3"/>
  <c r="H683" i="3"/>
  <c r="H674" i="3"/>
  <c r="H669" i="3"/>
  <c r="H662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H510" i="3" s="1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H622" i="3" l="1"/>
  <c r="H459" i="3"/>
  <c r="H610" i="3"/>
  <c r="H536" i="3"/>
  <c r="H619" i="3"/>
  <c r="H639" i="3"/>
  <c r="H472" i="3"/>
  <c r="H613" i="3"/>
  <c r="H489" i="3"/>
  <c r="H482" i="3"/>
  <c r="H466" i="3"/>
  <c r="H624" i="3"/>
  <c r="H452" i="3"/>
  <c r="H571" i="3"/>
  <c r="H511" i="3"/>
  <c r="H602" i="3"/>
  <c r="H542" i="3"/>
  <c r="H630" i="3"/>
  <c r="H593" i="3"/>
  <c r="H558" i="3"/>
  <c r="H503" i="3"/>
  <c r="H607" i="3"/>
  <c r="H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H296" i="3" l="1"/>
  <c r="H401" i="3"/>
  <c r="H394" i="3"/>
  <c r="H357" i="3"/>
  <c r="H29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H430" i="3"/>
  <c r="H421" i="3"/>
  <c r="H414" i="3"/>
  <c r="H412" i="3"/>
  <c r="H409" i="3"/>
  <c r="G398" i="3"/>
  <c r="H397" i="3"/>
  <c r="H389" i="3"/>
  <c r="H377" i="3"/>
  <c r="H344" i="3"/>
  <c r="H328" i="3"/>
  <c r="H322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H275" i="3"/>
  <c r="H289" i="3"/>
  <c r="H268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H252" i="3" l="1"/>
  <c r="H258" i="3"/>
  <c r="H245" i="3"/>
  <c r="H223" i="3"/>
  <c r="H238" i="3"/>
  <c r="E108" i="3"/>
  <c r="G108" i="3" s="1"/>
  <c r="E107" i="3"/>
  <c r="G107" i="3" s="1"/>
  <c r="E106" i="3"/>
  <c r="G106" i="3" s="1"/>
  <c r="E105" i="3"/>
  <c r="G105" i="3" s="1"/>
  <c r="E104" i="3"/>
  <c r="G104" i="3" s="1"/>
  <c r="E103" i="3"/>
  <c r="G103" i="3" s="1"/>
  <c r="E102" i="3"/>
  <c r="G102" i="3" s="1"/>
  <c r="E101" i="3"/>
  <c r="G101" i="3" s="1"/>
  <c r="E100" i="3"/>
  <c r="G100" i="3" s="1"/>
  <c r="E99" i="3"/>
  <c r="G99" i="3" s="1"/>
  <c r="E98" i="3"/>
  <c r="G98" i="3" s="1"/>
  <c r="E97" i="3"/>
  <c r="G97" i="3" s="1"/>
  <c r="E96" i="3"/>
  <c r="G96" i="3" s="1"/>
  <c r="E95" i="3"/>
  <c r="G95" i="3" s="1"/>
  <c r="E94" i="3"/>
  <c r="G94" i="3" s="1"/>
  <c r="E93" i="3"/>
  <c r="G93" i="3" s="1"/>
  <c r="E92" i="3"/>
  <c r="G92" i="3" s="1"/>
  <c r="E91" i="3"/>
  <c r="G91" i="3" s="1"/>
  <c r="E90" i="3"/>
  <c r="G90" i="3" s="1"/>
  <c r="E89" i="3"/>
  <c r="G89" i="3" s="1"/>
  <c r="E88" i="3"/>
  <c r="G88" i="3" s="1"/>
  <c r="E87" i="3"/>
  <c r="G87" i="3" s="1"/>
  <c r="E86" i="3"/>
  <c r="G86" i="3" s="1"/>
  <c r="E85" i="3"/>
  <c r="G85" i="3" s="1"/>
  <c r="E84" i="3"/>
  <c r="G84" i="3" s="1"/>
  <c r="E83" i="3"/>
  <c r="G83" i="3" s="1"/>
  <c r="E82" i="3"/>
  <c r="G82" i="3" s="1"/>
  <c r="E81" i="3"/>
  <c r="G81" i="3" s="1"/>
  <c r="E80" i="3"/>
  <c r="G80" i="3" s="1"/>
  <c r="E79" i="3"/>
  <c r="G79" i="3" s="1"/>
  <c r="E78" i="3"/>
  <c r="G78" i="3" s="1"/>
  <c r="E77" i="3"/>
  <c r="G77" i="3" s="1"/>
  <c r="E76" i="3"/>
  <c r="G76" i="3" s="1"/>
  <c r="E75" i="3"/>
  <c r="H214" i="3"/>
  <c r="H205" i="3"/>
  <c r="H196" i="3"/>
  <c r="H193" i="3"/>
  <c r="H185" i="3"/>
  <c r="H181" i="3"/>
  <c r="H177" i="3"/>
  <c r="H172" i="3"/>
  <c r="H160" i="3"/>
  <c r="H138" i="3"/>
  <c r="H125" i="3"/>
  <c r="H109" i="3"/>
  <c r="E74" i="3"/>
  <c r="G74" i="3" s="1"/>
  <c r="E73" i="3"/>
  <c r="G73" i="3" s="1"/>
  <c r="E72" i="3"/>
  <c r="G72" i="3" s="1"/>
  <c r="E71" i="3"/>
  <c r="G71" i="3" s="1"/>
  <c r="E70" i="3"/>
  <c r="G70" i="3" s="1"/>
  <c r="E69" i="3"/>
  <c r="G69" i="3" s="1"/>
  <c r="E68" i="3"/>
  <c r="E67" i="3"/>
  <c r="G67" i="3" s="1"/>
  <c r="E66" i="3"/>
  <c r="G66" i="3" s="1"/>
  <c r="E65" i="3"/>
  <c r="G65" i="3" s="1"/>
  <c r="E64" i="3"/>
  <c r="G64" i="3" s="1"/>
  <c r="E63" i="3"/>
  <c r="G63" i="3" s="1"/>
  <c r="E62" i="3"/>
  <c r="G62" i="3" s="1"/>
  <c r="E61" i="3"/>
  <c r="G61" i="3" s="1"/>
  <c r="E60" i="3"/>
  <c r="G60" i="3" s="1"/>
  <c r="E59" i="3"/>
  <c r="G59" i="3" s="1"/>
  <c r="E58" i="3"/>
  <c r="G58" i="3" s="1"/>
  <c r="E57" i="3"/>
  <c r="G57" i="3" s="1"/>
  <c r="E56" i="3"/>
  <c r="G56" i="3" s="1"/>
  <c r="E55" i="3"/>
  <c r="G55" i="3" s="1"/>
  <c r="E54" i="3"/>
  <c r="E53" i="3"/>
  <c r="G53" i="3" s="1"/>
  <c r="E52" i="3"/>
  <c r="G52" i="3" s="1"/>
  <c r="E51" i="3"/>
  <c r="G51" i="3" s="1"/>
  <c r="E50" i="3"/>
  <c r="G50" i="3" s="1"/>
  <c r="E49" i="3"/>
  <c r="G49" i="3" s="1"/>
  <c r="E48" i="3"/>
  <c r="G48" i="3" s="1"/>
  <c r="E47" i="3"/>
  <c r="G47" i="3" s="1"/>
  <c r="E46" i="3"/>
  <c r="G46" i="3" s="1"/>
  <c r="E45" i="3"/>
  <c r="G45" i="3" s="1"/>
  <c r="E44" i="3"/>
  <c r="E43" i="3"/>
  <c r="G43" i="3" s="1"/>
  <c r="E42" i="3"/>
  <c r="G42" i="3" s="1"/>
  <c r="E41" i="3"/>
  <c r="G41" i="3" s="1"/>
  <c r="E40" i="3"/>
  <c r="G40" i="3" s="1"/>
  <c r="E39" i="3"/>
  <c r="G39" i="3" s="1"/>
  <c r="E38" i="3"/>
  <c r="G38" i="3" s="1"/>
  <c r="E37" i="3"/>
  <c r="G37" i="3" s="1"/>
  <c r="E36" i="3"/>
  <c r="G36" i="3" s="1"/>
  <c r="E35" i="3"/>
  <c r="G35" i="3" s="1"/>
  <c r="E34" i="3"/>
  <c r="G34" i="3" s="1"/>
  <c r="E33" i="3"/>
  <c r="G33" i="3" s="1"/>
  <c r="E32" i="3"/>
  <c r="G32" i="3" s="1"/>
  <c r="E31" i="3"/>
  <c r="G31" i="3" s="1"/>
  <c r="H198" i="3"/>
  <c r="E25" i="3"/>
  <c r="G25" i="3" s="1"/>
  <c r="E26" i="3"/>
  <c r="G26" i="3" s="1"/>
  <c r="E27" i="3"/>
  <c r="G27" i="3" s="1"/>
  <c r="E28" i="3"/>
  <c r="G28" i="3" s="1"/>
  <c r="E29" i="3"/>
  <c r="G29" i="3" s="1"/>
  <c r="E30" i="3"/>
  <c r="G30" i="3" s="1"/>
  <c r="E24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I510" i="3" s="1"/>
  <c r="J510" i="3" s="1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E18" i="3"/>
  <c r="G18" i="3" s="1"/>
  <c r="E19" i="3"/>
  <c r="G19" i="3" s="1"/>
  <c r="E20" i="3"/>
  <c r="G20" i="3" s="1"/>
  <c r="E21" i="3"/>
  <c r="G21" i="3" s="1"/>
  <c r="E22" i="3"/>
  <c r="G22" i="3" s="1"/>
  <c r="E23" i="3"/>
  <c r="G23" i="3" s="1"/>
  <c r="E17" i="3"/>
  <c r="G17" i="3" s="1"/>
  <c r="E3" i="3"/>
  <c r="G3" i="3" s="1"/>
  <c r="E4" i="3"/>
  <c r="G4" i="3" s="1"/>
  <c r="E5" i="3"/>
  <c r="G5" i="3" s="1"/>
  <c r="E6" i="3"/>
  <c r="G6" i="3" s="1"/>
  <c r="E7" i="3"/>
  <c r="G7" i="3" s="1"/>
  <c r="E8" i="3"/>
  <c r="G8" i="3" s="1"/>
  <c r="E9" i="3"/>
  <c r="G9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E16" i="3"/>
  <c r="G16" i="3" s="1"/>
  <c r="E2" i="3"/>
  <c r="G2" i="3" s="1"/>
  <c r="H68" i="3" l="1"/>
  <c r="H75" i="3"/>
  <c r="I389" i="3"/>
  <c r="J389" i="3" s="1"/>
  <c r="I723" i="3"/>
  <c r="J723" i="3" s="1"/>
  <c r="I743" i="3"/>
  <c r="J743" i="3" s="1"/>
  <c r="I683" i="3"/>
  <c r="J683" i="3" s="1"/>
  <c r="I699" i="3"/>
  <c r="J699" i="3" s="1"/>
  <c r="I702" i="3"/>
  <c r="J702" i="3" s="1"/>
  <c r="I739" i="3"/>
  <c r="J739" i="3" s="1"/>
  <c r="I654" i="3"/>
  <c r="J654" i="3" s="1"/>
  <c r="I662" i="3"/>
  <c r="J662" i="3" s="1"/>
  <c r="I401" i="3"/>
  <c r="J401" i="3" s="1"/>
  <c r="I669" i="3"/>
  <c r="J669" i="3" s="1"/>
  <c r="I648" i="3"/>
  <c r="J648" i="3" s="1"/>
  <c r="I726" i="3"/>
  <c r="J726" i="3" s="1"/>
  <c r="I741" i="3"/>
  <c r="J741" i="3" s="1"/>
  <c r="I736" i="3"/>
  <c r="J736" i="3" s="1"/>
  <c r="I729" i="3"/>
  <c r="J729" i="3" s="1"/>
  <c r="I689" i="3"/>
  <c r="J689" i="3" s="1"/>
  <c r="I688" i="3"/>
  <c r="J688" i="3" s="1"/>
  <c r="I721" i="3"/>
  <c r="J721" i="3" s="1"/>
  <c r="I715" i="3"/>
  <c r="J715" i="3" s="1"/>
  <c r="I674" i="3"/>
  <c r="J674" i="3" s="1"/>
  <c r="I709" i="3"/>
  <c r="J709" i="3" s="1"/>
  <c r="I746" i="3"/>
  <c r="J746" i="3" s="1"/>
  <c r="I724" i="3"/>
  <c r="J724" i="3" s="1"/>
  <c r="I657" i="3"/>
  <c r="J657" i="3" s="1"/>
  <c r="I298" i="3"/>
  <c r="I296" i="3"/>
  <c r="I357" i="3"/>
  <c r="J357" i="3" s="1"/>
  <c r="I394" i="3"/>
  <c r="J394" i="3" s="1"/>
  <c r="I622" i="3"/>
  <c r="J622" i="3" s="1"/>
  <c r="I602" i="3"/>
  <c r="J602" i="3" s="1"/>
  <c r="I542" i="3"/>
  <c r="J542" i="3" s="1"/>
  <c r="I482" i="3"/>
  <c r="J482" i="3" s="1"/>
  <c r="I377" i="3"/>
  <c r="J377" i="3" s="1"/>
  <c r="I639" i="3"/>
  <c r="J639" i="3" s="1"/>
  <c r="I630" i="3"/>
  <c r="J630" i="3" s="1"/>
  <c r="I624" i="3"/>
  <c r="J624" i="3" s="1"/>
  <c r="I619" i="3"/>
  <c r="J619" i="3" s="1"/>
  <c r="I613" i="3"/>
  <c r="J613" i="3" s="1"/>
  <c r="I610" i="3"/>
  <c r="J610" i="3" s="1"/>
  <c r="I607" i="3"/>
  <c r="J607" i="3" s="1"/>
  <c r="I593" i="3"/>
  <c r="J593" i="3" s="1"/>
  <c r="I571" i="3"/>
  <c r="J571" i="3" s="1"/>
  <c r="I558" i="3"/>
  <c r="J558" i="3" s="1"/>
  <c r="I536" i="3"/>
  <c r="J536" i="3" s="1"/>
  <c r="I511" i="3"/>
  <c r="J511" i="3" s="1"/>
  <c r="I503" i="3"/>
  <c r="J503" i="3" s="1"/>
  <c r="I489" i="3"/>
  <c r="J489" i="3" s="1"/>
  <c r="I472" i="3"/>
  <c r="J472" i="3" s="1"/>
  <c r="I466" i="3"/>
  <c r="J466" i="3" s="1"/>
  <c r="I459" i="3"/>
  <c r="J459" i="3" s="1"/>
  <c r="I452" i="3"/>
  <c r="J452" i="3" s="1"/>
  <c r="I439" i="3"/>
  <c r="J439" i="3" s="1"/>
  <c r="I397" i="3"/>
  <c r="J397" i="3" s="1"/>
  <c r="I328" i="3"/>
  <c r="J328" i="3" s="1"/>
  <c r="J298" i="3"/>
  <c r="I430" i="3"/>
  <c r="J430" i="3" s="1"/>
  <c r="I421" i="3"/>
  <c r="J421" i="3" s="1"/>
  <c r="I414" i="3"/>
  <c r="J414" i="3" s="1"/>
  <c r="I412" i="3"/>
  <c r="J412" i="3" s="1"/>
  <c r="I409" i="3"/>
  <c r="J409" i="3" s="1"/>
  <c r="I344" i="3"/>
  <c r="J344" i="3" s="1"/>
  <c r="I322" i="3"/>
  <c r="J322" i="3" s="1"/>
  <c r="H31" i="3"/>
  <c r="H103" i="3"/>
  <c r="I205" i="3"/>
  <c r="J205" i="3" s="1"/>
  <c r="H37" i="3"/>
  <c r="G44" i="3"/>
  <c r="I37" i="3" s="1"/>
  <c r="J37" i="3" s="1"/>
  <c r="H47" i="3"/>
  <c r="G68" i="3"/>
  <c r="I68" i="3" s="1"/>
  <c r="J68" i="3" s="1"/>
  <c r="I47" i="3"/>
  <c r="J47" i="3" s="1"/>
  <c r="I252" i="3"/>
  <c r="J252" i="3" s="1"/>
  <c r="I103" i="3"/>
  <c r="J103" i="3" s="1"/>
  <c r="I245" i="3"/>
  <c r="J245" i="3" s="1"/>
  <c r="G75" i="3"/>
  <c r="I75" i="3" s="1"/>
  <c r="J75" i="3" s="1"/>
  <c r="H24" i="3"/>
  <c r="I258" i="3"/>
  <c r="J258" i="3" s="1"/>
  <c r="J296" i="3"/>
  <c r="H54" i="3"/>
  <c r="G54" i="3"/>
  <c r="I54" i="3" s="1"/>
  <c r="J54" i="3" s="1"/>
  <c r="I109" i="3"/>
  <c r="J109" i="3" s="1"/>
  <c r="I238" i="3"/>
  <c r="J238" i="3" s="1"/>
  <c r="I289" i="3"/>
  <c r="J289" i="3" s="1"/>
  <c r="I223" i="3"/>
  <c r="J223" i="3" s="1"/>
  <c r="I138" i="3"/>
  <c r="J138" i="3" s="1"/>
  <c r="I268" i="3"/>
  <c r="J268" i="3" s="1"/>
  <c r="I160" i="3"/>
  <c r="J160" i="3" s="1"/>
  <c r="I275" i="3"/>
  <c r="J275" i="3" s="1"/>
  <c r="I177" i="3"/>
  <c r="J177" i="3" s="1"/>
  <c r="I214" i="3"/>
  <c r="J214" i="3" s="1"/>
  <c r="I196" i="3"/>
  <c r="J196" i="3" s="1"/>
  <c r="I193" i="3"/>
  <c r="J193" i="3" s="1"/>
  <c r="I185" i="3"/>
  <c r="J185" i="3" s="1"/>
  <c r="I181" i="3"/>
  <c r="J181" i="3" s="1"/>
  <c r="I172" i="3"/>
  <c r="J172" i="3" s="1"/>
  <c r="I125" i="3"/>
  <c r="J125" i="3" s="1"/>
  <c r="H78" i="3"/>
  <c r="I78" i="3"/>
  <c r="J78" i="3" s="1"/>
  <c r="I198" i="3"/>
  <c r="J198" i="3" s="1"/>
  <c r="I31" i="3"/>
  <c r="J31" i="3" s="1"/>
  <c r="I2" i="3"/>
  <c r="J2" i="3" s="1"/>
  <c r="H17" i="3"/>
  <c r="I17" i="3"/>
  <c r="J17" i="3" s="1"/>
  <c r="H2" i="3"/>
  <c r="G24" i="3"/>
  <c r="I24" i="3" s="1"/>
  <c r="J24" i="3" s="1"/>
  <c r="G297" i="2" l="1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<sst xmlns="http://schemas.openxmlformats.org/spreadsheetml/2006/main" count="4045" uniqueCount="264">
  <si>
    <t>AZUAY</t>
  </si>
  <si>
    <t>BOLIVAR</t>
  </si>
  <si>
    <t>CAÑAR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</si>
  <si>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</si>
  <si>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</si>
  <si>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</si>
  <si>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</si>
  <si>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</si>
  <si>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</si>
  <si>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</si>
  <si>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</si>
  <si>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</si>
  <si>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</si>
  <si>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</si>
  <si>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</si>
  <si>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</si>
  <si>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</si>
  <si>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</si>
  <si>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</si>
  <si>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</si>
  <si>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</si>
  <si>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</si>
  <si>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</si>
  <si>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</si>
  <si>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solo dic</t>
  </si>
  <si>
    <t>servicio</t>
  </si>
  <si>
    <t>Provincia</t>
  </si>
  <si>
    <t>DESARROLLO INFANTIL INTEGRAL</t>
  </si>
  <si>
    <t>PERSONAS ADULTOS MAYORES - PEJ</t>
  </si>
  <si>
    <t>PERSONAS CON DISCAPACIDAD</t>
  </si>
  <si>
    <t>PROTECCION ESPECIAL</t>
  </si>
  <si>
    <t>Usuarios</t>
  </si>
  <si>
    <t>Presupuesto 2024</t>
  </si>
  <si>
    <t>acumulado 2023-2024</t>
  </si>
  <si>
    <t>BDH</t>
  </si>
  <si>
    <t>BDHv</t>
  </si>
  <si>
    <t>BJGL</t>
  </si>
  <si>
    <t>BONO MIL DIAS</t>
  </si>
  <si>
    <t>PENSION MMA</t>
  </si>
  <si>
    <t>PENSION PAM</t>
  </si>
  <si>
    <t>PENSION PCD</t>
  </si>
  <si>
    <t>PENSION TUV</t>
  </si>
  <si>
    <t>ZONA EN ESTUDIO</t>
  </si>
  <si>
    <t>unidades de atención</t>
  </si>
  <si>
    <t>Canton</t>
  </si>
  <si>
    <t>CAMILO PONCE ENRIQUEZ</t>
  </si>
  <si>
    <t>CHORDELEG</t>
  </si>
  <si>
    <t>CUENCA</t>
  </si>
  <si>
    <t>EL PAN</t>
  </si>
  <si>
    <t>GIRON</t>
  </si>
  <si>
    <t>GUACHAPALA</t>
  </si>
  <si>
    <t>GUALACEO</t>
  </si>
  <si>
    <t>NABON</t>
  </si>
  <si>
    <t>PAUTE</t>
  </si>
  <si>
    <t>PUCARA</t>
  </si>
  <si>
    <t>SAN FERNANDO</t>
  </si>
  <si>
    <t>SANTA ISABEL</t>
  </si>
  <si>
    <t>SEVILLA DE ORO</t>
  </si>
  <si>
    <t>SIGSIG</t>
  </si>
  <si>
    <t>CALUMA</t>
  </si>
  <si>
    <t>CHILLANES</t>
  </si>
  <si>
    <t>CHIMBO</t>
  </si>
  <si>
    <t>ECHEANDIA</t>
  </si>
  <si>
    <t>GUARANDA</t>
  </si>
  <si>
    <t>LAS NAVES</t>
  </si>
  <si>
    <t>SAN MIGUEL</t>
  </si>
  <si>
    <t>AZOGUES</t>
  </si>
  <si>
    <t>BIBLIAN</t>
  </si>
  <si>
    <t>DELEG</t>
  </si>
  <si>
    <t>EL TAMBO</t>
  </si>
  <si>
    <t>LA TRONCAL</t>
  </si>
  <si>
    <t>SUSCAL</t>
  </si>
  <si>
    <t>ESPEJO</t>
  </si>
  <si>
    <t>MIRA</t>
  </si>
  <si>
    <t>MONTUFAR</t>
  </si>
  <si>
    <t>SAN PEDRO DE HUACA</t>
  </si>
  <si>
    <t>TULCAN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</si>
  <si>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</si>
  <si>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</si>
  <si>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</si>
  <si>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</si>
  <si>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</si>
  <si>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</si>
  <si>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</si>
  <si>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</si>
  <si>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PENIPE</t>
  </si>
  <si>
    <t>RIOBAMBA</t>
  </si>
  <si>
    <t>LA MANA</t>
  </si>
  <si>
    <t>LATACUNGA</t>
  </si>
  <si>
    <t>PANGUA</t>
  </si>
  <si>
    <t>PUJILI</t>
  </si>
  <si>
    <t>SALCEDO</t>
  </si>
  <si>
    <t>SAQUISILI</t>
  </si>
  <si>
    <t>SIGCHOS</t>
  </si>
  <si>
    <t>ARENILLAS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</si>
  <si>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</si>
  <si>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</si>
  <si>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</si>
  <si>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</si>
  <si>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</si>
  <si>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</si>
  <si>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</si>
  <si>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MARCABELI</t>
  </si>
  <si>
    <t>PASAJE</t>
  </si>
  <si>
    <t>PORTOVELO</t>
  </si>
  <si>
    <t>SANTA ROSA</t>
  </si>
  <si>
    <t>ZARUMA</t>
  </si>
  <si>
    <t>ATACAMES</t>
  </si>
  <si>
    <t>ELOY ALFARO</t>
  </si>
  <si>
    <t>MUISNE</t>
  </si>
  <si>
    <t>QUININDE</t>
  </si>
  <si>
    <t>RIOVERDE</t>
  </si>
  <si>
    <t>SAN LORENZO</t>
  </si>
  <si>
    <t>ISABELA</t>
  </si>
  <si>
    <t>SAN CRISTOBAL</t>
  </si>
  <si>
    <t>SANTA CRUZ</t>
  </si>
  <si>
    <t>ALFREDO BAQUERIZO MORENO</t>
  </si>
  <si>
    <t>BALAO</t>
  </si>
  <si>
    <t>BALZAR</t>
  </si>
  <si>
    <t>COLIMES</t>
  </si>
  <si>
    <t>DAULE</t>
  </si>
  <si>
    <t>DURAN</t>
  </si>
  <si>
    <t>EL EMPALME</t>
  </si>
  <si>
    <t>EL TRIUNFO</t>
  </si>
  <si>
    <t>GENERAL  ANTONIO ELIZALDE</t>
  </si>
  <si>
    <t>GUAYAQUIL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</si>
  <si>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</si>
  <si>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</si>
  <si>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</si>
  <si>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</si>
  <si>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</si>
  <si>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</si>
  <si>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</si>
  <si>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</si>
  <si>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</si>
  <si>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</si>
  <si>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SAMBORONDON</t>
  </si>
  <si>
    <t>SAN JACINTO DE YAGUACHI</t>
  </si>
  <si>
    <t>SANTA LUCIA</t>
  </si>
  <si>
    <t>SIMON BOLIVAR</t>
  </si>
  <si>
    <t>ANTONIO ANTE</t>
  </si>
  <si>
    <t>COTACACHI</t>
  </si>
  <si>
    <t>IBARRA</t>
  </si>
  <si>
    <t>OTAVALO</t>
  </si>
  <si>
    <t>PIMAMPIRO</t>
  </si>
  <si>
    <t>SAN MIGUEL DE URCUQUI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</si>
  <si>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</si>
  <si>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</si>
  <si>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</si>
  <si>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</si>
  <si>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</si>
  <si>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</si>
  <si>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</si>
  <si>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</si>
  <si>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</si>
  <si>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</si>
  <si>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</si>
  <si>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</si>
  <si>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</si>
  <si>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</si>
  <si>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</si>
  <si>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BABA</t>
  </si>
  <si>
    <t>BABAHOYO</t>
  </si>
  <si>
    <t>BUENA FE</t>
  </si>
  <si>
    <t>MOCACHE</t>
  </si>
  <si>
    <t>MONTALVO</t>
  </si>
  <si>
    <t>PALENQUE</t>
  </si>
  <si>
    <t>PUEBLOVIEJO</t>
  </si>
  <si>
    <t>QUEVEDO</t>
  </si>
  <si>
    <t>QUINSALOMA</t>
  </si>
  <si>
    <t>URDANETA</t>
  </si>
  <si>
    <t>VALENCIA</t>
  </si>
  <si>
    <t>VENTANAS</t>
  </si>
  <si>
    <t>VINCES</t>
  </si>
  <si>
    <t>24 DE MAYO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</si>
  <si>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</si>
  <si>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</si>
  <si>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</si>
  <si>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</si>
  <si>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</si>
  <si>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</si>
  <si>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</si>
  <si>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</si>
  <si>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</si>
  <si>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PAJAN</t>
  </si>
  <si>
    <t>PEDERNALES</t>
  </si>
  <si>
    <t>PORTOVIEJO</t>
  </si>
  <si>
    <t>PUERTO LOPEZ</t>
  </si>
  <si>
    <t>ROCAFUERTE</t>
  </si>
  <si>
    <t>SAN VICENTE</t>
  </si>
  <si>
    <t>SANTA ANA</t>
  </si>
  <si>
    <t>SUCRE</t>
  </si>
  <si>
    <t>TOSAGUA</t>
  </si>
  <si>
    <t>GUALAQUIZA</t>
  </si>
  <si>
    <t>HUAMBOYA</t>
  </si>
  <si>
    <t>LIMON INDANZA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</si>
  <si>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</si>
  <si>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</si>
  <si>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</si>
  <si>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</si>
  <si>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</si>
  <si>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</si>
  <si>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</si>
  <si>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</si>
  <si>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ARCHIDONA</t>
  </si>
  <si>
    <t>CARLOS JULIO AROSEMENA TOLA</t>
  </si>
  <si>
    <t>EL CHACO</t>
  </si>
  <si>
    <t>QUIJOS</t>
  </si>
  <si>
    <t>TENA</t>
  </si>
  <si>
    <t>AGUARICO</t>
  </si>
  <si>
    <t>LA JOYA DE LOS SACHAS</t>
  </si>
  <si>
    <t>LORETO</t>
  </si>
  <si>
    <t>ARAJUNO</t>
  </si>
  <si>
    <t>MERA</t>
  </si>
  <si>
    <t>SANTA CLARA</t>
  </si>
  <si>
    <t>CAYAMBE</t>
  </si>
  <si>
    <t>DISTRITO METROPOLITANO DE QUITO</t>
  </si>
  <si>
    <t>MEJIA</t>
  </si>
  <si>
    <t>PEDRO MONCAYO</t>
  </si>
  <si>
    <t>PEDRO VICENTE MALDONADO</t>
  </si>
  <si>
    <t>PUERTO QUITO</t>
  </si>
  <si>
    <t>SAN MIGUEL DE LOS BANCOS</t>
  </si>
  <si>
    <t>LA LIBERTAD</t>
  </si>
  <si>
    <t>SALINAS</t>
  </si>
  <si>
    <t>LA CONCORDIA</t>
  </si>
  <si>
    <t>SANTO DOMINGO</t>
  </si>
  <si>
    <t>CASCALES</t>
  </si>
  <si>
    <t>CUYABENO</t>
  </si>
  <si>
    <t>GONZALO PIZARRO</t>
  </si>
  <si>
    <t>LAGO AGRIO</t>
  </si>
  <si>
    <t>PUTUMAYO</t>
  </si>
  <si>
    <t>SHUSHUFINDI</t>
  </si>
  <si>
    <t>AMBATO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</si>
  <si>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</si>
  <si>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</si>
  <si>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</si>
  <si>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</si>
  <si>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</si>
  <si>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</si>
  <si>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</si>
  <si>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</si>
  <si>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</si>
  <si>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</si>
  <si>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</si>
  <si>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</si>
  <si>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</si>
  <si>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</si>
  <si>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</si>
  <si>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</si>
  <si>
    <t>%</t>
  </si>
  <si>
    <t>Presupuesto prop</t>
  </si>
  <si>
    <t>Presupuesto prov</t>
  </si>
  <si>
    <t>val %</t>
  </si>
  <si>
    <t>val presupuesto</t>
  </si>
  <si>
    <t>OÑA</t>
  </si>
  <si>
    <t>PIÑAS</t>
  </si>
  <si>
    <t>CORONEL MARCELINO MARIDUEÑA</t>
  </si>
  <si>
    <t>LOGROÑO</t>
  </si>
  <si>
    <t>RUMIÑAHUI</t>
  </si>
  <si>
    <t>BAÑOS DE AGUA SANTA</t>
  </si>
  <si>
    <t>Presupuesto 2025</t>
  </si>
  <si>
    <t>acumulado</t>
  </si>
  <si>
    <t>Presupuesto 2026</t>
  </si>
  <si>
    <t>acumulado 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</si>
</sst>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 &quot;$&quot;* #,##0.00_ ;_ &quot;$&quot;* \-#,##0.00_ ;_ &quot;$&quot;* &quot;-&quot;??_ ;_ @_ "/>
    <numFmt numFmtId="164" formatCode="_ * #,##0_ ;_ * \-#,##0_ ;_ * &quot;-&quot;??_ ;_ @_ "/>
    <numFmt numFmtId="165" formatCode="0.0%"/>
    <numFmt numFmtId="166" formatCode="0.00000000"/>
    <numFmt numFmtId="167" formatCode="0.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0" borderId="0" xfId="0" applyFont="1"/>
    <xf numFmtId="164" fontId="0" fillId="0" borderId="0" xfId="0" applyNumberFormat="1"/>
    <xf numFmtId="0" fontId="2" fillId="0" borderId="1" xfId="0" applyFont="1" applyBorder="1"/>
    <xf numFmtId="0" fontId="2" fillId="3" borderId="0" xfId="0" applyFont="1" applyFill="1" applyBorder="1"/>
    <xf numFmtId="10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2" fillId="5" borderId="0" xfId="0" applyFont="1" applyFill="1"/>
    <xf numFmtId="0" fontId="0" fillId="5" borderId="0" xfId="0" applyFill="1"/>
    <xf numFmtId="164" fontId="0" fillId="5" borderId="0" xfId="0" applyNumberFormat="1" applyFill="1"/>
    <xf numFmtId="10" fontId="0" fillId="5" borderId="0" xfId="1" applyNumberFormat="1" applyFont="1" applyFill="1"/>
    <xf numFmtId="165" fontId="2" fillId="3" borderId="0" xfId="1" applyNumberFormat="1" applyFont="1" applyFill="1" applyBorder="1"/>
    <xf numFmtId="165" fontId="0" fillId="0" borderId="0" xfId="1" applyNumberFormat="1" applyFont="1"/>
    <xf numFmtId="165" fontId="0" fillId="5" borderId="0" xfId="1" applyNumberFormat="1" applyFont="1" applyFill="1"/>
    <xf numFmtId="165" fontId="0" fillId="4" borderId="0" xfId="1" applyNumberFormat="1" applyFont="1" applyFill="1"/>
    <xf numFmtId="10" fontId="2" fillId="3" borderId="0" xfId="1" applyNumberFormat="1" applyFont="1" applyFill="1" applyBorder="1"/>
    <xf numFmtId="10" fontId="0" fillId="4" borderId="0" xfId="1" applyNumberFormat="1" applyFont="1" applyFill="1"/>
    <xf numFmtId="0" fontId="2" fillId="6" borderId="0" xfId="0" applyFont="1" applyFill="1"/>
    <xf numFmtId="0" fontId="0" fillId="6" borderId="0" xfId="0" applyFill="1"/>
    <xf numFmtId="164" fontId="0" fillId="6" borderId="0" xfId="0" applyNumberFormat="1" applyFill="1"/>
    <xf numFmtId="10" fontId="0" fillId="6" borderId="0" xfId="1" applyNumberFormat="1" applyFont="1" applyFill="1"/>
    <xf numFmtId="165" fontId="0" fillId="6" borderId="0" xfId="1" applyNumberFormat="1" applyFont="1" applyFill="1"/>
    <xf numFmtId="0" fontId="2" fillId="7" borderId="0" xfId="0" applyFont="1" applyFill="1"/>
    <xf numFmtId="0" fontId="0" fillId="7" borderId="0" xfId="0" applyFill="1"/>
    <xf numFmtId="164" fontId="0" fillId="7" borderId="0" xfId="0" applyNumberFormat="1" applyFill="1"/>
    <xf numFmtId="10" fontId="0" fillId="7" borderId="0" xfId="1" applyNumberFormat="1" applyFont="1" applyFill="1"/>
    <xf numFmtId="165" fontId="0" fillId="7" borderId="0" xfId="1" applyNumberFormat="1" applyFont="1" applyFill="1"/>
    <xf numFmtId="166" fontId="0" fillId="6" borderId="0" xfId="0" applyNumberFormat="1" applyFill="1"/>
    <xf numFmtId="167" fontId="0" fillId="6" borderId="0" xfId="0" applyNumberFormat="1" applyFill="1"/>
    <xf numFmtId="0" fontId="0" fillId="0" borderId="0" xfId="0" applyAlignment="1">
      <alignment horizontal="left" indent="1"/>
    </xf>
    <xf numFmtId="44" fontId="0" fillId="0" borderId="0" xfId="0" applyNumberFormat="1"/>
    <xf numFmtId="4" fontId="0" fillId="2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7"/>
  <sheetViews>
    <sheetView tabSelected="1" workbookViewId="0">
      <pane ySplit="1" topLeftCell="A2" activePane="bottomLeft" state="frozen"/>
      <selection pane="bottomLeft" activeCell="F223" sqref="F223:F247"/>
    </sheetView>
  </sheetViews>
  <sheetFormatPr baseColWidth="10" defaultRowHeight="15" x14ac:dyDescent="0.25"/>
  <cols>
    <col min="1" max="1" width="31" bestFit="1" customWidth="1"/>
    <col min="6" max="6" width="19" bestFit="1" customWidth="1"/>
    <col min="7" max="7" width="21.5703125" bestFit="1" customWidth="1"/>
    <col min="8" max="8" width="11.85546875" bestFit="1" customWidth="1"/>
    <col min="9" max="9" width="11.7109375" bestFit="1" customWidth="1"/>
    <col min="12" max="12" width="14.5703125" bestFit="1" customWidth="1"/>
  </cols>
  <sheetData>
    <row r="1" spans="1:12" x14ac:dyDescent="0.25">
      <c r="A1" t="s">
        <v>25</v>
      </c>
      <c r="B1" t="s">
        <v>26</v>
      </c>
      <c r="C1" t="s">
        <v>263</v>
      </c>
      <c r="D1" t="s">
        <v>31</v>
      </c>
      <c r="E1" t="s">
        <v>43</v>
      </c>
      <c r="F1" t="s">
        <v>262</v>
      </c>
      <c r="G1" t="s">
        <v>261</v>
      </c>
    </row>
    <row r="2" spans="1:12" x14ac:dyDescent="0.25">
      <c r="A2" t="s">
        <v>27</v>
      </c>
      <c r="B2" t="s">
        <v>0</v>
      </c>
      <c r="C2">
        <v>13133016.0392</v>
      </c>
      <c r="D2">
        <v>8270</v>
      </c>
      <c r="E2">
        <v>225</v>
      </c>
      <c r="F2">
        <v>3909413.9996999991</v>
      </c>
      <c r="G2">
        <f>+F2+C2</f>
        <v>17042430.038899999</v>
      </c>
      <c r="I2" s="33"/>
      <c r="J2" s="4"/>
      <c r="K2" s="4"/>
      <c r="L2" s="34"/>
    </row>
    <row r="3" spans="1:12" x14ac:dyDescent="0.25">
      <c r="A3" t="s">
        <v>27</v>
      </c>
      <c r="B3" t="s">
        <v>1</v>
      </c>
      <c r="C3">
        <v>9552112.5001999997</v>
      </c>
      <c r="D3">
        <v>5863</v>
      </c>
      <c r="E3">
        <v>155</v>
      </c>
      <c r="F3">
        <v>2519405.1099</v>
      </c>
      <c r="G3">
        <f t="shared" ref="G3:G66" si="0">+F3+C3</f>
        <v>12071517.610099999</v>
      </c>
      <c r="I3" s="33"/>
      <c r="J3" s="4"/>
      <c r="K3" s="4"/>
      <c r="L3" s="34"/>
    </row>
    <row r="4" spans="1:12" x14ac:dyDescent="0.25">
      <c r="A4" t="s">
        <v>27</v>
      </c>
      <c r="B4" t="s">
        <v>2</v>
      </c>
      <c r="C4">
        <v>5874786.5304000005</v>
      </c>
      <c r="D4">
        <v>5030</v>
      </c>
      <c r="E4">
        <v>139</v>
      </c>
      <c r="F4">
        <v>1660566.02</v>
      </c>
      <c r="G4">
        <f t="shared" si="0"/>
        <v>7535352.5504000001</v>
      </c>
      <c r="I4" s="33"/>
      <c r="J4" s="4"/>
      <c r="K4" s="4"/>
      <c r="L4" s="34"/>
    </row>
    <row r="5" spans="1:12" x14ac:dyDescent="0.25">
      <c r="A5" t="s">
        <v>27</v>
      </c>
      <c r="B5" t="s">
        <v>3</v>
      </c>
      <c r="C5">
        <v>4497426.9505000012</v>
      </c>
      <c r="D5">
        <v>2667</v>
      </c>
      <c r="E5">
        <v>66</v>
      </c>
      <c r="F5">
        <v>1398338.3703000001</v>
      </c>
      <c r="G5">
        <f t="shared" si="0"/>
        <v>5895765.3208000008</v>
      </c>
      <c r="I5" s="33"/>
      <c r="J5" s="4"/>
      <c r="K5" s="4"/>
      <c r="L5" s="34"/>
    </row>
    <row r="6" spans="1:12" x14ac:dyDescent="0.25">
      <c r="A6" t="s">
        <v>27</v>
      </c>
      <c r="B6" t="s">
        <v>4</v>
      </c>
      <c r="C6">
        <v>16469970.5</v>
      </c>
      <c r="D6">
        <v>11506</v>
      </c>
      <c r="E6">
        <v>317</v>
      </c>
      <c r="F6">
        <v>5061583.9300999986</v>
      </c>
      <c r="G6">
        <f t="shared" si="0"/>
        <v>21531554.430099998</v>
      </c>
      <c r="I6" s="33"/>
      <c r="J6" s="4"/>
      <c r="K6" s="4"/>
      <c r="L6" s="34"/>
    </row>
    <row r="7" spans="1:12" x14ac:dyDescent="0.25">
      <c r="A7" t="s">
        <v>27</v>
      </c>
      <c r="B7" t="s">
        <v>5</v>
      </c>
      <c r="C7">
        <v>14821143.079499997</v>
      </c>
      <c r="D7">
        <v>9094</v>
      </c>
      <c r="E7">
        <v>263</v>
      </c>
      <c r="F7">
        <v>5114955.5500000007</v>
      </c>
      <c r="G7">
        <f t="shared" si="0"/>
        <v>19936098.629499998</v>
      </c>
      <c r="I7" s="33"/>
      <c r="J7" s="4"/>
      <c r="K7" s="4"/>
      <c r="L7" s="34"/>
    </row>
    <row r="8" spans="1:12" x14ac:dyDescent="0.25">
      <c r="A8" t="s">
        <v>27</v>
      </c>
      <c r="B8" t="s">
        <v>6</v>
      </c>
      <c r="C8">
        <v>11817803.130700003</v>
      </c>
      <c r="D8">
        <v>12932</v>
      </c>
      <c r="E8">
        <v>292</v>
      </c>
      <c r="F8">
        <v>3437842.4493</v>
      </c>
      <c r="G8">
        <f t="shared" si="0"/>
        <v>15255645.580000004</v>
      </c>
      <c r="I8" s="33"/>
      <c r="J8" s="4"/>
      <c r="K8" s="4"/>
      <c r="L8" s="34"/>
    </row>
    <row r="9" spans="1:12" x14ac:dyDescent="0.25">
      <c r="A9" t="s">
        <v>27</v>
      </c>
      <c r="B9" t="s">
        <v>7</v>
      </c>
      <c r="C9">
        <v>28876234.837499999</v>
      </c>
      <c r="D9">
        <v>15965</v>
      </c>
      <c r="E9">
        <v>389</v>
      </c>
      <c r="F9">
        <v>8184181.4329999993</v>
      </c>
      <c r="G9">
        <f t="shared" si="0"/>
        <v>37060416.270499997</v>
      </c>
      <c r="I9" s="33"/>
      <c r="J9" s="4"/>
      <c r="K9" s="4"/>
      <c r="L9" s="34"/>
    </row>
    <row r="10" spans="1:12" x14ac:dyDescent="0.25">
      <c r="A10" t="s">
        <v>27</v>
      </c>
      <c r="B10" t="s">
        <v>8</v>
      </c>
      <c r="C10">
        <v>1305690.3799000001</v>
      </c>
      <c r="D10">
        <v>329</v>
      </c>
      <c r="E10">
        <v>8</v>
      </c>
      <c r="F10">
        <v>326327.34000000003</v>
      </c>
      <c r="G10">
        <f t="shared" si="0"/>
        <v>1632017.7199000001</v>
      </c>
      <c r="I10" s="33"/>
      <c r="J10" s="4"/>
      <c r="K10" s="4"/>
      <c r="L10" s="34"/>
    </row>
    <row r="11" spans="1:12" x14ac:dyDescent="0.25">
      <c r="A11" t="s">
        <v>27</v>
      </c>
      <c r="B11" t="s">
        <v>9</v>
      </c>
      <c r="C11">
        <v>80118042.179699987</v>
      </c>
      <c r="D11">
        <v>61733</v>
      </c>
      <c r="E11">
        <v>1436</v>
      </c>
      <c r="F11">
        <v>20669158.619500004</v>
      </c>
      <c r="G11">
        <f t="shared" si="0"/>
        <v>100787200.7992</v>
      </c>
      <c r="I11" s="33"/>
      <c r="J11" s="4"/>
      <c r="K11" s="4"/>
      <c r="L11" s="34"/>
    </row>
    <row r="12" spans="1:12" x14ac:dyDescent="0.25">
      <c r="A12" t="s">
        <v>27</v>
      </c>
      <c r="B12" t="s">
        <v>10</v>
      </c>
      <c r="C12">
        <v>13167354.582500001</v>
      </c>
      <c r="D12">
        <v>10022</v>
      </c>
      <c r="E12">
        <v>269</v>
      </c>
      <c r="F12">
        <v>3634775.2376000001</v>
      </c>
      <c r="G12">
        <f t="shared" si="0"/>
        <v>16802129.820100002</v>
      </c>
      <c r="I12" s="33"/>
      <c r="J12" s="4"/>
      <c r="K12" s="4"/>
      <c r="L12" s="34"/>
    </row>
    <row r="13" spans="1:12" x14ac:dyDescent="0.25">
      <c r="A13" t="s">
        <v>27</v>
      </c>
      <c r="B13" t="s">
        <v>11</v>
      </c>
      <c r="C13">
        <v>9931265.2829000037</v>
      </c>
      <c r="D13">
        <v>11337</v>
      </c>
      <c r="E13">
        <v>270</v>
      </c>
      <c r="F13">
        <v>2573883.1897999998</v>
      </c>
      <c r="G13">
        <f t="shared" si="0"/>
        <v>12505148.472700004</v>
      </c>
      <c r="I13" s="33"/>
      <c r="J13" s="4"/>
      <c r="K13" s="4"/>
      <c r="L13" s="34"/>
    </row>
    <row r="14" spans="1:12" x14ac:dyDescent="0.25">
      <c r="A14" t="s">
        <v>27</v>
      </c>
      <c r="B14" t="s">
        <v>12</v>
      </c>
      <c r="C14">
        <v>17422011.439499997</v>
      </c>
      <c r="D14">
        <v>15490</v>
      </c>
      <c r="E14">
        <v>360</v>
      </c>
      <c r="F14">
        <v>3992704.1</v>
      </c>
      <c r="G14">
        <f t="shared" si="0"/>
        <v>21414715.539499998</v>
      </c>
      <c r="I14" s="33"/>
      <c r="J14" s="4"/>
      <c r="K14" s="4"/>
      <c r="L14" s="34"/>
    </row>
    <row r="15" spans="1:12" x14ac:dyDescent="0.25">
      <c r="A15" t="s">
        <v>27</v>
      </c>
      <c r="B15" t="s">
        <v>13</v>
      </c>
      <c r="C15">
        <v>34938038.859999999</v>
      </c>
      <c r="D15">
        <v>37440</v>
      </c>
      <c r="E15">
        <v>869</v>
      </c>
      <c r="F15">
        <v>8960719.0403000005</v>
      </c>
      <c r="G15">
        <f t="shared" si="0"/>
        <v>43898757.900299996</v>
      </c>
      <c r="I15" s="33"/>
      <c r="J15" s="4"/>
      <c r="K15" s="4"/>
      <c r="L15" s="34"/>
    </row>
    <row r="16" spans="1:12" x14ac:dyDescent="0.25">
      <c r="A16" t="s">
        <v>27</v>
      </c>
      <c r="B16" t="s">
        <v>14</v>
      </c>
      <c r="C16">
        <v>12904772.639900003</v>
      </c>
      <c r="D16">
        <v>8977</v>
      </c>
      <c r="E16">
        <v>231</v>
      </c>
      <c r="F16">
        <v>3845585.2994999997</v>
      </c>
      <c r="G16">
        <f t="shared" si="0"/>
        <v>16750357.939400002</v>
      </c>
      <c r="I16" s="33"/>
      <c r="J16" s="4"/>
      <c r="K16" s="4"/>
      <c r="L16" s="34"/>
    </row>
    <row r="17" spans="1:12" x14ac:dyDescent="0.25">
      <c r="A17" t="s">
        <v>27</v>
      </c>
      <c r="B17" t="s">
        <v>15</v>
      </c>
      <c r="C17">
        <v>8679556.780199999</v>
      </c>
      <c r="D17">
        <v>2496</v>
      </c>
      <c r="E17">
        <v>68</v>
      </c>
      <c r="F17">
        <v>2951984.1</v>
      </c>
      <c r="G17">
        <f t="shared" si="0"/>
        <v>11631540.880199999</v>
      </c>
      <c r="I17" s="33"/>
      <c r="J17" s="4"/>
      <c r="K17" s="4"/>
      <c r="L17" s="34"/>
    </row>
    <row r="18" spans="1:12" x14ac:dyDescent="0.25">
      <c r="A18" t="s">
        <v>27</v>
      </c>
      <c r="B18" t="s">
        <v>16</v>
      </c>
      <c r="C18">
        <v>5310022.9605</v>
      </c>
      <c r="D18">
        <v>4833</v>
      </c>
      <c r="E18">
        <v>118</v>
      </c>
      <c r="F18">
        <v>1573569.3602000002</v>
      </c>
      <c r="G18">
        <f t="shared" si="0"/>
        <v>6883592.3207</v>
      </c>
      <c r="I18" s="33"/>
      <c r="J18" s="4"/>
      <c r="K18" s="4"/>
      <c r="L18" s="34"/>
    </row>
    <row r="19" spans="1:12" x14ac:dyDescent="0.25">
      <c r="A19" t="s">
        <v>27</v>
      </c>
      <c r="B19" t="s">
        <v>17</v>
      </c>
      <c r="C19">
        <v>5476841.0598999988</v>
      </c>
      <c r="D19">
        <v>3011</v>
      </c>
      <c r="E19">
        <v>79</v>
      </c>
      <c r="F19">
        <v>1606079.2697000001</v>
      </c>
      <c r="G19">
        <f t="shared" si="0"/>
        <v>7082920.3295999989</v>
      </c>
      <c r="I19" s="33"/>
      <c r="J19" s="4"/>
      <c r="K19" s="4"/>
      <c r="L19" s="34"/>
    </row>
    <row r="20" spans="1:12" x14ac:dyDescent="0.25">
      <c r="A20" t="s">
        <v>27</v>
      </c>
      <c r="B20" t="s">
        <v>18</v>
      </c>
      <c r="C20">
        <v>40487313.339499988</v>
      </c>
      <c r="D20">
        <v>17374</v>
      </c>
      <c r="E20">
        <v>427</v>
      </c>
      <c r="F20">
        <v>12537188.911999999</v>
      </c>
      <c r="G20">
        <f t="shared" si="0"/>
        <v>53024502.251499988</v>
      </c>
      <c r="I20" s="33"/>
      <c r="J20" s="4"/>
      <c r="K20" s="4"/>
      <c r="L20" s="34"/>
    </row>
    <row r="21" spans="1:12" x14ac:dyDescent="0.25">
      <c r="A21" t="s">
        <v>27</v>
      </c>
      <c r="B21" t="s">
        <v>19</v>
      </c>
      <c r="C21">
        <v>12963832.0396</v>
      </c>
      <c r="D21">
        <v>11411</v>
      </c>
      <c r="E21">
        <v>291</v>
      </c>
      <c r="F21">
        <v>4573908.5400999999</v>
      </c>
      <c r="G21">
        <f t="shared" si="0"/>
        <v>17537740.579700001</v>
      </c>
      <c r="I21" s="33"/>
      <c r="J21" s="4"/>
      <c r="K21" s="4"/>
      <c r="L21" s="34"/>
    </row>
    <row r="22" spans="1:12" x14ac:dyDescent="0.25">
      <c r="A22" t="s">
        <v>27</v>
      </c>
      <c r="B22" t="s">
        <v>20</v>
      </c>
      <c r="C22">
        <v>6207657.5696999999</v>
      </c>
      <c r="D22">
        <v>5409</v>
      </c>
      <c r="E22">
        <v>116</v>
      </c>
      <c r="F22">
        <v>1424111.35</v>
      </c>
      <c r="G22">
        <f>+F22+C22</f>
        <v>7631768.9197000004</v>
      </c>
      <c r="I22" s="33"/>
      <c r="J22" s="4"/>
      <c r="K22" s="4"/>
      <c r="L22" s="34"/>
    </row>
    <row r="23" spans="1:12" x14ac:dyDescent="0.25">
      <c r="A23" t="s">
        <v>27</v>
      </c>
      <c r="B23" t="s">
        <v>21</v>
      </c>
      <c r="C23">
        <v>4554278.3605000013</v>
      </c>
      <c r="D23">
        <v>4490</v>
      </c>
      <c r="E23">
        <v>119</v>
      </c>
      <c r="F23">
        <v>1568457.9205</v>
      </c>
      <c r="G23">
        <f t="shared" si="0"/>
        <v>6122736.2810000014</v>
      </c>
      <c r="I23" s="33"/>
      <c r="J23" s="4"/>
      <c r="K23" s="4"/>
      <c r="L23" s="34"/>
    </row>
    <row r="24" spans="1:12" x14ac:dyDescent="0.25">
      <c r="A24" t="s">
        <v>27</v>
      </c>
      <c r="B24" t="s">
        <v>22</v>
      </c>
      <c r="C24">
        <v>10466566.490399996</v>
      </c>
      <c r="D24">
        <v>6998</v>
      </c>
      <c r="E24">
        <v>198</v>
      </c>
      <c r="F24">
        <v>3496884.800199999</v>
      </c>
      <c r="G24">
        <f t="shared" si="0"/>
        <v>13963451.290599994</v>
      </c>
      <c r="I24" s="33"/>
      <c r="J24" s="4"/>
      <c r="K24" s="4"/>
      <c r="L24" s="34"/>
    </row>
    <row r="25" spans="1:12" x14ac:dyDescent="0.25">
      <c r="A25" t="s">
        <v>27</v>
      </c>
      <c r="B25" t="s">
        <v>23</v>
      </c>
      <c r="C25">
        <v>3763314.1595999999</v>
      </c>
      <c r="D25">
        <v>2298</v>
      </c>
      <c r="E25">
        <v>54</v>
      </c>
      <c r="F25">
        <v>1058152.6095999999</v>
      </c>
      <c r="G25">
        <f t="shared" si="0"/>
        <v>4821466.7692</v>
      </c>
      <c r="I25" s="33"/>
      <c r="J25" s="4"/>
      <c r="K25" s="4"/>
      <c r="L25" s="34"/>
    </row>
    <row r="26" spans="1:12" s="1" customFormat="1" x14ac:dyDescent="0.25">
      <c r="A26" s="1" t="s">
        <v>28</v>
      </c>
      <c r="B26" s="1" t="s">
        <v>0</v>
      </c>
      <c r="C26" s="1">
        <v>7838414.9393999986</v>
      </c>
      <c r="D26" s="1">
        <v>6335</v>
      </c>
      <c r="E26" s="1">
        <v>170</v>
      </c>
      <c r="F26" s="1">
        <v>2068765.6088</v>
      </c>
      <c r="G26">
        <f t="shared" si="0"/>
        <v>9907180.5481999982</v>
      </c>
      <c r="H26"/>
    </row>
    <row r="27" spans="1:12" x14ac:dyDescent="0.25">
      <c r="A27" t="s">
        <v>28</v>
      </c>
      <c r="B27" t="s">
        <v>1</v>
      </c>
      <c r="C27">
        <v>3617433.7701999992</v>
      </c>
      <c r="D27">
        <v>3333</v>
      </c>
      <c r="E27">
        <v>105</v>
      </c>
      <c r="F27">
        <v>922434.59010000003</v>
      </c>
      <c r="G27">
        <f t="shared" si="0"/>
        <v>4539868.3602999989</v>
      </c>
    </row>
    <row r="28" spans="1:12" x14ac:dyDescent="0.25">
      <c r="A28" t="s">
        <v>28</v>
      </c>
      <c r="B28" t="s">
        <v>2</v>
      </c>
      <c r="C28">
        <v>5091777.6105000004</v>
      </c>
      <c r="D28">
        <v>5018</v>
      </c>
      <c r="E28">
        <v>139</v>
      </c>
      <c r="F28">
        <v>1811822.56</v>
      </c>
      <c r="G28">
        <f t="shared" si="0"/>
        <v>6903600.1705000009</v>
      </c>
    </row>
    <row r="29" spans="1:12" x14ac:dyDescent="0.25">
      <c r="A29" t="s">
        <v>28</v>
      </c>
      <c r="B29" t="s">
        <v>3</v>
      </c>
      <c r="C29">
        <v>1436230.5605000001</v>
      </c>
      <c r="D29">
        <v>2312</v>
      </c>
      <c r="E29">
        <v>40</v>
      </c>
      <c r="F29">
        <v>601715.84029999992</v>
      </c>
      <c r="G29">
        <f t="shared" si="0"/>
        <v>2037946.4007999999</v>
      </c>
    </row>
    <row r="30" spans="1:12" x14ac:dyDescent="0.25">
      <c r="A30" t="s">
        <v>28</v>
      </c>
      <c r="B30" t="s">
        <v>4</v>
      </c>
      <c r="C30">
        <v>9268113.4097000025</v>
      </c>
      <c r="D30">
        <v>8061</v>
      </c>
      <c r="E30">
        <v>191</v>
      </c>
      <c r="F30">
        <v>2832582.2696000002</v>
      </c>
      <c r="G30">
        <f t="shared" si="0"/>
        <v>12100695.679300003</v>
      </c>
    </row>
    <row r="31" spans="1:12" x14ac:dyDescent="0.25">
      <c r="A31" t="s">
        <v>28</v>
      </c>
      <c r="B31" t="s">
        <v>5</v>
      </c>
      <c r="C31">
        <v>3473705.0493999999</v>
      </c>
      <c r="D31">
        <v>4291</v>
      </c>
      <c r="E31">
        <v>107</v>
      </c>
      <c r="F31">
        <v>1290838.8792999999</v>
      </c>
      <c r="G31">
        <f t="shared" si="0"/>
        <v>4764543.9287</v>
      </c>
    </row>
    <row r="32" spans="1:12" x14ac:dyDescent="0.25">
      <c r="A32" t="s">
        <v>28</v>
      </c>
      <c r="B32" t="s">
        <v>6</v>
      </c>
      <c r="C32">
        <v>3544334.0995999994</v>
      </c>
      <c r="D32">
        <v>3606</v>
      </c>
      <c r="E32">
        <v>93</v>
      </c>
      <c r="F32">
        <v>1006918.1309000002</v>
      </c>
      <c r="G32">
        <f t="shared" si="0"/>
        <v>4551252.2304999996</v>
      </c>
    </row>
    <row r="33" spans="1:7" x14ac:dyDescent="0.25">
      <c r="A33" t="s">
        <v>28</v>
      </c>
      <c r="B33" t="s">
        <v>7</v>
      </c>
      <c r="C33">
        <v>7439297.2394000003</v>
      </c>
      <c r="D33">
        <v>4295</v>
      </c>
      <c r="E33">
        <v>103</v>
      </c>
      <c r="F33">
        <v>2658488.5739000007</v>
      </c>
      <c r="G33">
        <f t="shared" si="0"/>
        <v>10097785.813300001</v>
      </c>
    </row>
    <row r="34" spans="1:7" x14ac:dyDescent="0.25">
      <c r="A34" t="s">
        <v>28</v>
      </c>
      <c r="B34" t="s">
        <v>8</v>
      </c>
      <c r="C34">
        <v>211808.94</v>
      </c>
      <c r="D34">
        <v>194</v>
      </c>
      <c r="E34">
        <v>5</v>
      </c>
      <c r="F34">
        <v>89620.94</v>
      </c>
      <c r="G34">
        <f t="shared" si="0"/>
        <v>301429.88</v>
      </c>
    </row>
    <row r="35" spans="1:7" x14ac:dyDescent="0.25">
      <c r="A35" t="s">
        <v>28</v>
      </c>
      <c r="B35" t="s">
        <v>9</v>
      </c>
      <c r="C35">
        <v>10482172.550500004</v>
      </c>
      <c r="D35">
        <v>15707</v>
      </c>
      <c r="E35">
        <v>335</v>
      </c>
      <c r="F35">
        <v>3135853.2001999989</v>
      </c>
      <c r="G35">
        <f t="shared" si="0"/>
        <v>13618025.750700003</v>
      </c>
    </row>
    <row r="36" spans="1:7" x14ac:dyDescent="0.25">
      <c r="A36" t="s">
        <v>28</v>
      </c>
      <c r="B36" t="s">
        <v>10</v>
      </c>
      <c r="C36">
        <v>6136051.6008000011</v>
      </c>
      <c r="D36">
        <v>4514</v>
      </c>
      <c r="E36">
        <v>109</v>
      </c>
      <c r="F36">
        <v>1653960.6063999999</v>
      </c>
      <c r="G36">
        <f t="shared" si="0"/>
        <v>7790012.207200001</v>
      </c>
    </row>
    <row r="37" spans="1:7" x14ac:dyDescent="0.25">
      <c r="A37" t="s">
        <v>28</v>
      </c>
      <c r="B37" t="s">
        <v>11</v>
      </c>
      <c r="C37">
        <v>8415739.0911999997</v>
      </c>
      <c r="D37">
        <v>9854</v>
      </c>
      <c r="E37">
        <v>266</v>
      </c>
      <c r="F37">
        <v>2859396.7598000001</v>
      </c>
      <c r="G37">
        <f t="shared" si="0"/>
        <v>11275135.851</v>
      </c>
    </row>
    <row r="38" spans="1:7" x14ac:dyDescent="0.25">
      <c r="A38" t="s">
        <v>28</v>
      </c>
      <c r="B38" t="s">
        <v>12</v>
      </c>
      <c r="C38">
        <v>5654912.0205999985</v>
      </c>
      <c r="D38">
        <v>6956</v>
      </c>
      <c r="E38">
        <v>147</v>
      </c>
      <c r="F38">
        <v>1476906.1194999998</v>
      </c>
      <c r="G38">
        <f t="shared" si="0"/>
        <v>7131818.1400999986</v>
      </c>
    </row>
    <row r="39" spans="1:7" x14ac:dyDescent="0.25">
      <c r="A39" t="s">
        <v>28</v>
      </c>
      <c r="B39" t="s">
        <v>13</v>
      </c>
      <c r="C39">
        <v>8640474.2925000004</v>
      </c>
      <c r="D39">
        <v>11630</v>
      </c>
      <c r="E39">
        <v>271</v>
      </c>
      <c r="F39">
        <v>2700657.3300000005</v>
      </c>
      <c r="G39">
        <f t="shared" si="0"/>
        <v>11341131.622500001</v>
      </c>
    </row>
    <row r="40" spans="1:7" x14ac:dyDescent="0.25">
      <c r="A40" t="s">
        <v>28</v>
      </c>
      <c r="B40" t="s">
        <v>14</v>
      </c>
      <c r="C40">
        <v>3240108.59</v>
      </c>
      <c r="D40">
        <v>2437</v>
      </c>
      <c r="E40">
        <v>55</v>
      </c>
      <c r="F40">
        <v>1005773.9</v>
      </c>
      <c r="G40">
        <f t="shared" si="0"/>
        <v>4245882.49</v>
      </c>
    </row>
    <row r="41" spans="1:7" x14ac:dyDescent="0.25">
      <c r="A41" t="s">
        <v>28</v>
      </c>
      <c r="B41" t="s">
        <v>15</v>
      </c>
      <c r="C41">
        <v>1615220.7694999999</v>
      </c>
      <c r="D41">
        <v>1825</v>
      </c>
      <c r="E41">
        <v>52</v>
      </c>
      <c r="F41">
        <v>620132.92040000006</v>
      </c>
      <c r="G41">
        <f t="shared" si="0"/>
        <v>2235353.6899000001</v>
      </c>
    </row>
    <row r="42" spans="1:7" x14ac:dyDescent="0.25">
      <c r="A42" t="s">
        <v>28</v>
      </c>
      <c r="B42" t="s">
        <v>16</v>
      </c>
      <c r="C42">
        <v>1106838.9302000001</v>
      </c>
      <c r="D42">
        <v>1782</v>
      </c>
      <c r="E42">
        <v>46</v>
      </c>
      <c r="F42">
        <v>429204.82050000003</v>
      </c>
      <c r="G42">
        <f t="shared" si="0"/>
        <v>1536043.7507000002</v>
      </c>
    </row>
    <row r="43" spans="1:7" x14ac:dyDescent="0.25">
      <c r="A43" t="s">
        <v>28</v>
      </c>
      <c r="B43" t="s">
        <v>17</v>
      </c>
      <c r="C43">
        <v>1075432.7102000001</v>
      </c>
      <c r="D43">
        <v>784</v>
      </c>
      <c r="E43">
        <v>20</v>
      </c>
      <c r="F43">
        <v>308628.92969999998</v>
      </c>
      <c r="G43">
        <f t="shared" si="0"/>
        <v>1384061.6399000001</v>
      </c>
    </row>
    <row r="44" spans="1:7" x14ac:dyDescent="0.25">
      <c r="A44" t="s">
        <v>28</v>
      </c>
      <c r="B44" t="s">
        <v>18</v>
      </c>
      <c r="C44">
        <v>10923681.718099996</v>
      </c>
      <c r="D44">
        <v>6767</v>
      </c>
      <c r="E44">
        <v>174</v>
      </c>
      <c r="F44">
        <v>3321470.0131999999</v>
      </c>
      <c r="G44">
        <f t="shared" si="0"/>
        <v>14245151.731299996</v>
      </c>
    </row>
    <row r="45" spans="1:7" x14ac:dyDescent="0.25">
      <c r="A45" t="s">
        <v>28</v>
      </c>
      <c r="B45" t="s">
        <v>19</v>
      </c>
      <c r="C45">
        <v>1632833.8198000002</v>
      </c>
      <c r="D45">
        <v>2774</v>
      </c>
      <c r="E45">
        <v>71</v>
      </c>
      <c r="F45">
        <v>563666.59990000003</v>
      </c>
      <c r="G45">
        <f t="shared" si="0"/>
        <v>2196500.4197000004</v>
      </c>
    </row>
    <row r="46" spans="1:7" x14ac:dyDescent="0.25">
      <c r="A46" t="s">
        <v>28</v>
      </c>
      <c r="B46" t="s">
        <v>20</v>
      </c>
      <c r="C46">
        <v>1193270.0499</v>
      </c>
      <c r="D46">
        <v>1509</v>
      </c>
      <c r="E46">
        <v>29</v>
      </c>
      <c r="F46">
        <v>251928.08</v>
      </c>
      <c r="G46">
        <f t="shared" si="0"/>
        <v>1445198.1299000001</v>
      </c>
    </row>
    <row r="47" spans="1:7" x14ac:dyDescent="0.25">
      <c r="A47" t="s">
        <v>28</v>
      </c>
      <c r="B47" t="s">
        <v>21</v>
      </c>
      <c r="C47">
        <v>2064971.199</v>
      </c>
      <c r="D47">
        <v>2641</v>
      </c>
      <c r="E47">
        <v>66</v>
      </c>
      <c r="F47">
        <v>691455.4706</v>
      </c>
      <c r="G47">
        <f t="shared" si="0"/>
        <v>2756426.6696000001</v>
      </c>
    </row>
    <row r="48" spans="1:7" x14ac:dyDescent="0.25">
      <c r="A48" t="s">
        <v>28</v>
      </c>
      <c r="B48" t="s">
        <v>22</v>
      </c>
      <c r="C48">
        <v>5065462.2087000012</v>
      </c>
      <c r="D48">
        <v>6324</v>
      </c>
      <c r="E48">
        <v>152</v>
      </c>
      <c r="F48">
        <v>1655157.2498999997</v>
      </c>
      <c r="G48">
        <f t="shared" si="0"/>
        <v>6720619.4586000014</v>
      </c>
    </row>
    <row r="49" spans="1:8" x14ac:dyDescent="0.25">
      <c r="A49" t="s">
        <v>28</v>
      </c>
      <c r="B49" t="s">
        <v>23</v>
      </c>
      <c r="C49">
        <v>2035320.6689999998</v>
      </c>
      <c r="D49">
        <v>1748</v>
      </c>
      <c r="E49">
        <v>46</v>
      </c>
      <c r="F49">
        <v>652653.18979999993</v>
      </c>
      <c r="G49">
        <f t="shared" si="0"/>
        <v>2687973.8587999996</v>
      </c>
    </row>
    <row r="50" spans="1:8" s="1" customFormat="1" x14ac:dyDescent="0.25">
      <c r="A50" s="1" t="s">
        <v>29</v>
      </c>
      <c r="B50" s="1" t="s">
        <v>0</v>
      </c>
      <c r="C50" s="1">
        <v>2545964.8803000003</v>
      </c>
      <c r="D50" s="1">
        <v>1288</v>
      </c>
      <c r="E50" s="1">
        <v>42</v>
      </c>
      <c r="F50" s="1">
        <v>660987.82969999965</v>
      </c>
      <c r="G50">
        <f t="shared" si="0"/>
        <v>3206952.71</v>
      </c>
      <c r="H50"/>
    </row>
    <row r="51" spans="1:8" x14ac:dyDescent="0.25">
      <c r="A51" t="s">
        <v>29</v>
      </c>
      <c r="B51" t="s">
        <v>1</v>
      </c>
      <c r="C51">
        <v>754830.91020000004</v>
      </c>
      <c r="D51">
        <v>1068</v>
      </c>
      <c r="E51">
        <v>36</v>
      </c>
      <c r="F51">
        <v>120059.07989999998</v>
      </c>
      <c r="G51">
        <f t="shared" si="0"/>
        <v>874889.99010000005</v>
      </c>
    </row>
    <row r="52" spans="1:8" x14ac:dyDescent="0.25">
      <c r="A52" t="s">
        <v>29</v>
      </c>
      <c r="B52" t="s">
        <v>2</v>
      </c>
      <c r="C52">
        <v>1048813.1705999998</v>
      </c>
      <c r="D52">
        <v>872</v>
      </c>
      <c r="E52">
        <v>29</v>
      </c>
      <c r="F52">
        <v>345928.98880000011</v>
      </c>
      <c r="G52">
        <f t="shared" si="0"/>
        <v>1394742.1594</v>
      </c>
    </row>
    <row r="53" spans="1:8" x14ac:dyDescent="0.25">
      <c r="A53" t="s">
        <v>29</v>
      </c>
      <c r="B53" t="s">
        <v>3</v>
      </c>
      <c r="C53">
        <v>390389.45009999996</v>
      </c>
      <c r="D53">
        <v>540</v>
      </c>
      <c r="E53">
        <v>18</v>
      </c>
      <c r="F53">
        <v>136200.59999999998</v>
      </c>
      <c r="G53">
        <f t="shared" si="0"/>
        <v>526590.05009999988</v>
      </c>
    </row>
    <row r="54" spans="1:8" x14ac:dyDescent="0.25">
      <c r="A54" t="s">
        <v>29</v>
      </c>
      <c r="B54" t="s">
        <v>4</v>
      </c>
      <c r="C54">
        <v>1962540.0192</v>
      </c>
      <c r="D54">
        <v>957</v>
      </c>
      <c r="E54">
        <v>31</v>
      </c>
      <c r="F54">
        <v>575082.98979999986</v>
      </c>
      <c r="G54">
        <f t="shared" si="0"/>
        <v>2537623.0089999996</v>
      </c>
    </row>
    <row r="55" spans="1:8" x14ac:dyDescent="0.25">
      <c r="A55" t="s">
        <v>29</v>
      </c>
      <c r="B55" t="s">
        <v>5</v>
      </c>
      <c r="C55">
        <v>563533.17080000008</v>
      </c>
      <c r="D55">
        <v>1135</v>
      </c>
      <c r="E55">
        <v>38</v>
      </c>
      <c r="F55">
        <v>273062.88</v>
      </c>
      <c r="G55">
        <f t="shared" si="0"/>
        <v>836596.05080000008</v>
      </c>
    </row>
    <row r="56" spans="1:8" x14ac:dyDescent="0.25">
      <c r="A56" t="s">
        <v>29</v>
      </c>
      <c r="B56" t="s">
        <v>6</v>
      </c>
      <c r="C56">
        <v>1888701.5781999999</v>
      </c>
      <c r="D56">
        <v>2129</v>
      </c>
      <c r="E56">
        <v>71</v>
      </c>
      <c r="F56">
        <v>477846.09809999983</v>
      </c>
      <c r="G56">
        <f t="shared" si="0"/>
        <v>2366547.6762999995</v>
      </c>
    </row>
    <row r="57" spans="1:8" x14ac:dyDescent="0.25">
      <c r="A57" t="s">
        <v>29</v>
      </c>
      <c r="B57" t="s">
        <v>7</v>
      </c>
      <c r="C57">
        <v>1265501.9302000001</v>
      </c>
      <c r="D57">
        <v>1611</v>
      </c>
      <c r="E57">
        <v>54</v>
      </c>
      <c r="F57">
        <v>546873.29179999989</v>
      </c>
      <c r="G57">
        <f t="shared" si="0"/>
        <v>1812375.2220000001</v>
      </c>
    </row>
    <row r="58" spans="1:8" x14ac:dyDescent="0.25">
      <c r="A58" t="s">
        <v>29</v>
      </c>
      <c r="B58" t="s">
        <v>8</v>
      </c>
      <c r="C58" s="1">
        <v>71962.12999999999</v>
      </c>
      <c r="D58">
        <v>60</v>
      </c>
      <c r="E58">
        <v>2</v>
      </c>
      <c r="F58">
        <v>28058.1</v>
      </c>
      <c r="G58">
        <f t="shared" si="0"/>
        <v>100020.22999999998</v>
      </c>
    </row>
    <row r="59" spans="1:8" x14ac:dyDescent="0.25">
      <c r="A59" t="s">
        <v>29</v>
      </c>
      <c r="B59" t="s">
        <v>9</v>
      </c>
      <c r="C59">
        <v>6822606.2709999979</v>
      </c>
      <c r="D59">
        <v>6198</v>
      </c>
      <c r="E59">
        <v>206</v>
      </c>
      <c r="F59">
        <v>2051607.7899</v>
      </c>
      <c r="G59">
        <f t="shared" si="0"/>
        <v>8874214.0608999971</v>
      </c>
    </row>
    <row r="60" spans="1:8" x14ac:dyDescent="0.25">
      <c r="A60" t="s">
        <v>29</v>
      </c>
      <c r="B60" t="s">
        <v>10</v>
      </c>
      <c r="C60">
        <v>688421.64650000003</v>
      </c>
      <c r="D60">
        <v>1228</v>
      </c>
      <c r="E60">
        <v>41</v>
      </c>
      <c r="F60">
        <v>198144.00699999998</v>
      </c>
      <c r="G60">
        <f t="shared" si="0"/>
        <v>886565.65350000001</v>
      </c>
    </row>
    <row r="61" spans="1:8" x14ac:dyDescent="0.25">
      <c r="A61" t="s">
        <v>29</v>
      </c>
      <c r="B61" t="s">
        <v>11</v>
      </c>
      <c r="C61">
        <v>2627661.4571999996</v>
      </c>
      <c r="D61">
        <v>2339</v>
      </c>
      <c r="E61">
        <v>77</v>
      </c>
      <c r="F61">
        <v>952639.82059999986</v>
      </c>
      <c r="G61">
        <f t="shared" si="0"/>
        <v>3580301.2777999993</v>
      </c>
    </row>
    <row r="62" spans="1:8" x14ac:dyDescent="0.25">
      <c r="A62" t="s">
        <v>29</v>
      </c>
      <c r="B62" t="s">
        <v>12</v>
      </c>
      <c r="C62">
        <v>2133885.3711999999</v>
      </c>
      <c r="D62">
        <v>1939</v>
      </c>
      <c r="E62">
        <v>68</v>
      </c>
      <c r="F62">
        <v>509467.96009999997</v>
      </c>
      <c r="G62">
        <f t="shared" si="0"/>
        <v>2643353.3312999997</v>
      </c>
    </row>
    <row r="63" spans="1:8" x14ac:dyDescent="0.25">
      <c r="A63" t="s">
        <v>29</v>
      </c>
      <c r="B63" t="s">
        <v>13</v>
      </c>
      <c r="C63">
        <v>4339972.9206999997</v>
      </c>
      <c r="D63">
        <v>5675</v>
      </c>
      <c r="E63">
        <v>190</v>
      </c>
      <c r="F63">
        <v>1087272.5896000003</v>
      </c>
      <c r="G63">
        <f t="shared" si="0"/>
        <v>5427245.5103000002</v>
      </c>
    </row>
    <row r="64" spans="1:8" x14ac:dyDescent="0.25">
      <c r="A64" t="s">
        <v>29</v>
      </c>
      <c r="B64" t="s">
        <v>14</v>
      </c>
      <c r="C64">
        <v>379927.73970000003</v>
      </c>
      <c r="D64">
        <v>446</v>
      </c>
      <c r="E64">
        <v>15</v>
      </c>
      <c r="F64">
        <v>131509.98940000002</v>
      </c>
      <c r="G64">
        <f t="shared" si="0"/>
        <v>511437.72910000006</v>
      </c>
    </row>
    <row r="65" spans="1:8" x14ac:dyDescent="0.25">
      <c r="A65" t="s">
        <v>29</v>
      </c>
      <c r="B65" t="s">
        <v>15</v>
      </c>
      <c r="C65">
        <v>346726.60019999999</v>
      </c>
      <c r="D65">
        <v>569</v>
      </c>
      <c r="E65">
        <v>19</v>
      </c>
      <c r="F65">
        <v>182752.5901</v>
      </c>
      <c r="G65">
        <f t="shared" si="0"/>
        <v>529479.19030000002</v>
      </c>
    </row>
    <row r="66" spans="1:8" x14ac:dyDescent="0.25">
      <c r="A66" t="s">
        <v>29</v>
      </c>
      <c r="B66" t="s">
        <v>16</v>
      </c>
      <c r="C66">
        <v>597914.82959999982</v>
      </c>
      <c r="D66">
        <v>659</v>
      </c>
      <c r="E66">
        <v>22</v>
      </c>
      <c r="F66">
        <v>204301.13000000012</v>
      </c>
      <c r="G66">
        <f t="shared" si="0"/>
        <v>802215.95959999994</v>
      </c>
    </row>
    <row r="67" spans="1:8" x14ac:dyDescent="0.25">
      <c r="A67" t="s">
        <v>29</v>
      </c>
      <c r="B67" t="s">
        <v>17</v>
      </c>
      <c r="C67">
        <v>336621.26029999997</v>
      </c>
      <c r="D67">
        <v>477</v>
      </c>
      <c r="E67">
        <v>16</v>
      </c>
      <c r="F67">
        <v>127708.39020000001</v>
      </c>
      <c r="G67">
        <f t="shared" ref="G67:G130" si="1">+F67+C67</f>
        <v>464329.65049999999</v>
      </c>
    </row>
    <row r="68" spans="1:8" x14ac:dyDescent="0.25">
      <c r="A68" t="s">
        <v>29</v>
      </c>
      <c r="B68" t="s">
        <v>18</v>
      </c>
      <c r="C68">
        <v>4665373.935800001</v>
      </c>
      <c r="D68">
        <v>3284</v>
      </c>
      <c r="E68">
        <v>105</v>
      </c>
      <c r="F68">
        <v>1563456.9479000003</v>
      </c>
      <c r="G68">
        <f t="shared" si="1"/>
        <v>6228830.8837000011</v>
      </c>
    </row>
    <row r="69" spans="1:8" x14ac:dyDescent="0.25">
      <c r="A69" t="s">
        <v>29</v>
      </c>
      <c r="B69" t="s">
        <v>19</v>
      </c>
      <c r="C69">
        <v>697228.66959999991</v>
      </c>
      <c r="D69">
        <v>990</v>
      </c>
      <c r="E69">
        <v>33</v>
      </c>
      <c r="F69">
        <v>305274.44</v>
      </c>
      <c r="G69">
        <f t="shared" si="1"/>
        <v>1002503.1095999999</v>
      </c>
    </row>
    <row r="70" spans="1:8" x14ac:dyDescent="0.25">
      <c r="A70" t="s">
        <v>29</v>
      </c>
      <c r="B70" t="s">
        <v>20</v>
      </c>
      <c r="C70">
        <v>1064145.5900999997</v>
      </c>
      <c r="D70">
        <v>1130</v>
      </c>
      <c r="E70">
        <v>38</v>
      </c>
      <c r="F70">
        <v>163139.14989999999</v>
      </c>
      <c r="G70">
        <f t="shared" si="1"/>
        <v>1227284.7399999998</v>
      </c>
    </row>
    <row r="71" spans="1:8" x14ac:dyDescent="0.25">
      <c r="A71" t="s">
        <v>29</v>
      </c>
      <c r="B71" t="s">
        <v>21</v>
      </c>
      <c r="C71">
        <v>547204.75959999999</v>
      </c>
      <c r="D71">
        <v>637</v>
      </c>
      <c r="E71">
        <v>21</v>
      </c>
      <c r="F71">
        <v>133298.27989999999</v>
      </c>
      <c r="G71">
        <f t="shared" si="1"/>
        <v>680503.03949999996</v>
      </c>
    </row>
    <row r="72" spans="1:8" x14ac:dyDescent="0.25">
      <c r="A72" t="s">
        <v>29</v>
      </c>
      <c r="B72" t="s">
        <v>22</v>
      </c>
      <c r="C72">
        <v>1715948.6009999998</v>
      </c>
      <c r="D72">
        <v>1152</v>
      </c>
      <c r="E72">
        <v>35</v>
      </c>
      <c r="F72">
        <v>818560.22029999981</v>
      </c>
      <c r="G72">
        <f t="shared" si="1"/>
        <v>2534508.8212999995</v>
      </c>
    </row>
    <row r="73" spans="1:8" x14ac:dyDescent="0.25">
      <c r="A73" t="s">
        <v>29</v>
      </c>
      <c r="B73" t="s">
        <v>23</v>
      </c>
      <c r="C73">
        <v>1411957.6998000001</v>
      </c>
      <c r="D73">
        <v>656</v>
      </c>
      <c r="E73">
        <v>22</v>
      </c>
      <c r="F73">
        <v>461122.4007</v>
      </c>
      <c r="G73">
        <f t="shared" si="1"/>
        <v>1873080.1005000002</v>
      </c>
    </row>
    <row r="74" spans="1:8" s="1" customFormat="1" x14ac:dyDescent="0.25">
      <c r="A74" s="1" t="s">
        <v>30</v>
      </c>
      <c r="B74" s="1" t="s">
        <v>0</v>
      </c>
      <c r="C74" s="1">
        <v>3682216.0997000001</v>
      </c>
      <c r="D74" s="1">
        <v>1650</v>
      </c>
      <c r="E74" s="1">
        <v>25</v>
      </c>
      <c r="F74" s="1">
        <v>1113326.8595999999</v>
      </c>
      <c r="G74">
        <f t="shared" si="1"/>
        <v>4795542.9593000002</v>
      </c>
      <c r="H74"/>
    </row>
    <row r="75" spans="1:8" x14ac:dyDescent="0.25">
      <c r="A75" t="s">
        <v>30</v>
      </c>
      <c r="B75" t="s">
        <v>1</v>
      </c>
      <c r="C75">
        <v>1134075.7596999998</v>
      </c>
      <c r="D75">
        <v>700</v>
      </c>
      <c r="E75">
        <v>10</v>
      </c>
      <c r="F75">
        <v>146871.03030000001</v>
      </c>
      <c r="G75">
        <f t="shared" si="1"/>
        <v>1280946.7899999998</v>
      </c>
    </row>
    <row r="76" spans="1:8" x14ac:dyDescent="0.25">
      <c r="A76" t="s">
        <v>30</v>
      </c>
      <c r="B76" t="s">
        <v>2</v>
      </c>
      <c r="C76">
        <v>2046893.7499999995</v>
      </c>
      <c r="D76">
        <v>264</v>
      </c>
      <c r="E76">
        <v>7</v>
      </c>
      <c r="F76">
        <v>613425.82000000007</v>
      </c>
      <c r="G76">
        <f t="shared" si="1"/>
        <v>2660319.5699999994</v>
      </c>
    </row>
    <row r="77" spans="1:8" x14ac:dyDescent="0.25">
      <c r="A77" t="s">
        <v>30</v>
      </c>
      <c r="B77" t="s">
        <v>3</v>
      </c>
      <c r="C77">
        <v>415849.32999999996</v>
      </c>
      <c r="D77">
        <v>772</v>
      </c>
      <c r="E77">
        <v>6</v>
      </c>
      <c r="F77">
        <v>56370.32</v>
      </c>
      <c r="G77">
        <f t="shared" si="1"/>
        <v>472219.64999999997</v>
      </c>
    </row>
    <row r="78" spans="1:8" x14ac:dyDescent="0.25">
      <c r="A78" t="s">
        <v>30</v>
      </c>
      <c r="B78" t="s">
        <v>4</v>
      </c>
      <c r="C78">
        <v>2089473.8901999998</v>
      </c>
      <c r="D78">
        <v>1127</v>
      </c>
      <c r="E78">
        <v>16</v>
      </c>
      <c r="F78">
        <v>503175.14059999998</v>
      </c>
      <c r="G78">
        <f t="shared" si="1"/>
        <v>2592649.0307999998</v>
      </c>
    </row>
    <row r="79" spans="1:8" x14ac:dyDescent="0.25">
      <c r="A79" t="s">
        <v>30</v>
      </c>
      <c r="B79" t="s">
        <v>5</v>
      </c>
      <c r="C79">
        <v>1182436.1194</v>
      </c>
      <c r="D79">
        <v>1453</v>
      </c>
      <c r="E79">
        <v>13</v>
      </c>
      <c r="F79">
        <v>317410.47019999998</v>
      </c>
      <c r="G79">
        <f t="shared" si="1"/>
        <v>1499846.5896000001</v>
      </c>
    </row>
    <row r="80" spans="1:8" x14ac:dyDescent="0.25">
      <c r="A80" t="s">
        <v>30</v>
      </c>
      <c r="B80" t="s">
        <v>6</v>
      </c>
      <c r="C80">
        <v>4094832.5202000001</v>
      </c>
      <c r="D80">
        <v>2375</v>
      </c>
      <c r="E80">
        <v>27</v>
      </c>
      <c r="F80">
        <v>1127187.8504000001</v>
      </c>
      <c r="G80">
        <f t="shared" si="1"/>
        <v>5222020.3706</v>
      </c>
    </row>
    <row r="81" spans="1:7" x14ac:dyDescent="0.25">
      <c r="A81" t="s">
        <v>30</v>
      </c>
      <c r="B81" t="s">
        <v>7</v>
      </c>
      <c r="C81">
        <v>2383231.7442999999</v>
      </c>
      <c r="D81">
        <v>1025</v>
      </c>
      <c r="E81">
        <v>12</v>
      </c>
      <c r="F81">
        <v>520948.74359999999</v>
      </c>
      <c r="G81">
        <f t="shared" si="1"/>
        <v>2904180.4879000001</v>
      </c>
    </row>
    <row r="82" spans="1:7" x14ac:dyDescent="0.25">
      <c r="A82" t="s">
        <v>30</v>
      </c>
      <c r="B82" s="1" t="s">
        <v>8</v>
      </c>
      <c r="C82" s="1">
        <v>41170.33</v>
      </c>
      <c r="D82" s="1">
        <v>24</v>
      </c>
      <c r="E82" s="1">
        <v>1</v>
      </c>
      <c r="F82" s="1">
        <v>0</v>
      </c>
      <c r="G82">
        <f t="shared" si="1"/>
        <v>41170.33</v>
      </c>
    </row>
    <row r="83" spans="1:7" x14ac:dyDescent="0.25">
      <c r="A83" t="s">
        <v>30</v>
      </c>
      <c r="B83" t="s">
        <v>9</v>
      </c>
      <c r="C83">
        <v>10267113.190100001</v>
      </c>
      <c r="D83">
        <v>4305</v>
      </c>
      <c r="E83">
        <v>64</v>
      </c>
      <c r="F83">
        <v>2524965.83</v>
      </c>
      <c r="G83">
        <f t="shared" si="1"/>
        <v>12792079.020100001</v>
      </c>
    </row>
    <row r="84" spans="1:7" x14ac:dyDescent="0.25">
      <c r="A84" t="s">
        <v>30</v>
      </c>
      <c r="B84" t="s">
        <v>10</v>
      </c>
      <c r="C84">
        <v>2350175.0160000003</v>
      </c>
      <c r="D84">
        <v>1088</v>
      </c>
      <c r="E84">
        <v>15</v>
      </c>
      <c r="F84">
        <v>428441.69649999996</v>
      </c>
      <c r="G84">
        <f t="shared" si="1"/>
        <v>2778616.7125000004</v>
      </c>
    </row>
    <row r="85" spans="1:7" x14ac:dyDescent="0.25">
      <c r="A85" t="s">
        <v>30</v>
      </c>
      <c r="B85" t="s">
        <v>11</v>
      </c>
      <c r="C85">
        <v>4155574.4502999997</v>
      </c>
      <c r="D85">
        <v>1206</v>
      </c>
      <c r="E85">
        <v>22</v>
      </c>
      <c r="F85">
        <v>1033428.1000999999</v>
      </c>
      <c r="G85">
        <f t="shared" si="1"/>
        <v>5189002.5504000001</v>
      </c>
    </row>
    <row r="86" spans="1:7" x14ac:dyDescent="0.25">
      <c r="A86" t="s">
        <v>30</v>
      </c>
      <c r="B86" t="s">
        <v>12</v>
      </c>
      <c r="C86">
        <v>1906311.2401999999</v>
      </c>
      <c r="D86">
        <v>750</v>
      </c>
      <c r="E86">
        <v>13</v>
      </c>
      <c r="F86">
        <v>588360.94990000001</v>
      </c>
      <c r="G86">
        <f t="shared" si="1"/>
        <v>2494672.1900999998</v>
      </c>
    </row>
    <row r="87" spans="1:7" x14ac:dyDescent="0.25">
      <c r="A87" t="s">
        <v>30</v>
      </c>
      <c r="B87" t="s">
        <v>13</v>
      </c>
      <c r="C87">
        <v>3129463.3000999996</v>
      </c>
      <c r="D87">
        <v>2386</v>
      </c>
      <c r="E87">
        <v>18</v>
      </c>
      <c r="F87">
        <v>689779.56</v>
      </c>
      <c r="G87">
        <f t="shared" si="1"/>
        <v>3819242.8600999997</v>
      </c>
    </row>
    <row r="88" spans="1:7" x14ac:dyDescent="0.25">
      <c r="A88" t="s">
        <v>30</v>
      </c>
      <c r="B88" t="s">
        <v>14</v>
      </c>
      <c r="C88">
        <v>677050.61999999988</v>
      </c>
      <c r="D88">
        <v>122</v>
      </c>
      <c r="E88">
        <v>2</v>
      </c>
      <c r="F88">
        <v>181349.72</v>
      </c>
      <c r="G88">
        <f t="shared" si="1"/>
        <v>858400.33999999985</v>
      </c>
    </row>
    <row r="89" spans="1:7" x14ac:dyDescent="0.25">
      <c r="A89" t="s">
        <v>30</v>
      </c>
      <c r="B89" t="s">
        <v>15</v>
      </c>
      <c r="C89">
        <v>871734.83000000007</v>
      </c>
      <c r="D89">
        <v>141</v>
      </c>
      <c r="E89">
        <v>3</v>
      </c>
      <c r="F89">
        <v>290874.94</v>
      </c>
      <c r="G89">
        <f t="shared" si="1"/>
        <v>1162609.77</v>
      </c>
    </row>
    <row r="90" spans="1:7" x14ac:dyDescent="0.25">
      <c r="A90" t="s">
        <v>30</v>
      </c>
      <c r="B90" t="s">
        <v>16</v>
      </c>
      <c r="C90">
        <v>307687.65999999997</v>
      </c>
      <c r="D90">
        <v>183</v>
      </c>
      <c r="E90">
        <v>3</v>
      </c>
      <c r="F90">
        <v>116982.42</v>
      </c>
      <c r="G90">
        <f t="shared" si="1"/>
        <v>424670.07999999996</v>
      </c>
    </row>
    <row r="91" spans="1:7" x14ac:dyDescent="0.25">
      <c r="A91" t="s">
        <v>30</v>
      </c>
      <c r="B91" t="s">
        <v>17</v>
      </c>
      <c r="C91">
        <v>603252.30989999999</v>
      </c>
      <c r="D91">
        <v>210</v>
      </c>
      <c r="E91">
        <v>4</v>
      </c>
      <c r="F91">
        <v>271375.48</v>
      </c>
      <c r="G91">
        <f t="shared" si="1"/>
        <v>874627.78989999997</v>
      </c>
    </row>
    <row r="92" spans="1:7" x14ac:dyDescent="0.25">
      <c r="A92" t="s">
        <v>30</v>
      </c>
      <c r="B92" t="s">
        <v>18</v>
      </c>
      <c r="C92">
        <v>11645189.928700002</v>
      </c>
      <c r="D92">
        <v>5937</v>
      </c>
      <c r="E92">
        <v>66</v>
      </c>
      <c r="F92">
        <v>3229430.1685000001</v>
      </c>
      <c r="G92">
        <f t="shared" si="1"/>
        <v>14874620.097200003</v>
      </c>
    </row>
    <row r="93" spans="1:7" x14ac:dyDescent="0.25">
      <c r="A93" t="s">
        <v>30</v>
      </c>
      <c r="B93" t="s">
        <v>19</v>
      </c>
      <c r="C93">
        <v>1565246.6699000001</v>
      </c>
      <c r="D93">
        <v>578</v>
      </c>
      <c r="E93">
        <v>7</v>
      </c>
      <c r="F93">
        <v>361333.45</v>
      </c>
      <c r="G93">
        <f t="shared" si="1"/>
        <v>1926580.1199</v>
      </c>
    </row>
    <row r="94" spans="1:7" x14ac:dyDescent="0.25">
      <c r="A94" t="s">
        <v>30</v>
      </c>
      <c r="B94" t="s">
        <v>20</v>
      </c>
      <c r="C94">
        <v>3098962.2199999997</v>
      </c>
      <c r="D94">
        <v>620</v>
      </c>
      <c r="E94">
        <v>14</v>
      </c>
      <c r="F94">
        <v>742673.17</v>
      </c>
      <c r="G94">
        <f t="shared" si="1"/>
        <v>3841635.3899999997</v>
      </c>
    </row>
    <row r="95" spans="1:7" x14ac:dyDescent="0.25">
      <c r="A95" t="s">
        <v>30</v>
      </c>
      <c r="B95" t="s">
        <v>21</v>
      </c>
      <c r="C95">
        <v>359326.71999999997</v>
      </c>
      <c r="D95">
        <v>692</v>
      </c>
      <c r="E95">
        <v>6</v>
      </c>
      <c r="F95">
        <v>150151.1</v>
      </c>
      <c r="G95">
        <f t="shared" si="1"/>
        <v>509477.81999999995</v>
      </c>
    </row>
    <row r="96" spans="1:7" x14ac:dyDescent="0.25">
      <c r="A96" t="s">
        <v>30</v>
      </c>
      <c r="B96" t="s">
        <v>22</v>
      </c>
      <c r="C96">
        <v>3013727.1799999997</v>
      </c>
      <c r="D96">
        <v>1691</v>
      </c>
      <c r="E96">
        <v>19</v>
      </c>
      <c r="F96">
        <v>755594.12979999988</v>
      </c>
      <c r="G96">
        <f t="shared" si="1"/>
        <v>3769321.3097999995</v>
      </c>
    </row>
    <row r="97" spans="1:9" x14ac:dyDescent="0.25">
      <c r="A97" t="s">
        <v>30</v>
      </c>
      <c r="B97" t="s">
        <v>23</v>
      </c>
      <c r="C97">
        <v>824459.35999999987</v>
      </c>
      <c r="D97">
        <v>229</v>
      </c>
      <c r="E97">
        <v>5</v>
      </c>
      <c r="F97">
        <v>245181.8</v>
      </c>
      <c r="G97">
        <f t="shared" si="1"/>
        <v>1069641.1599999999</v>
      </c>
    </row>
    <row r="98" spans="1:9" s="1" customFormat="1" x14ac:dyDescent="0.25">
      <c r="A98" s="1" t="s">
        <v>37</v>
      </c>
      <c r="B98" s="1" t="s">
        <v>0</v>
      </c>
      <c r="C98" s="1">
        <v>4636336.9974364908</v>
      </c>
      <c r="D98" s="1">
        <v>4010</v>
      </c>
      <c r="E98" s="1">
        <v>0</v>
      </c>
      <c r="F98" s="1">
        <v>2058406.0319999999</v>
      </c>
      <c r="G98">
        <f t="shared" si="1"/>
        <v>6694743.0294364905</v>
      </c>
      <c r="H98"/>
      <c r="I98" s="35"/>
    </row>
    <row r="99" spans="1:9" x14ac:dyDescent="0.25">
      <c r="A99" t="s">
        <v>37</v>
      </c>
      <c r="B99" t="s">
        <v>1</v>
      </c>
      <c r="C99">
        <v>2742797.24549906</v>
      </c>
      <c r="D99">
        <v>2458</v>
      </c>
      <c r="E99">
        <v>0</v>
      </c>
      <c r="F99">
        <v>1261736.1610000001</v>
      </c>
      <c r="G99">
        <f t="shared" si="1"/>
        <v>4004533.4064990599</v>
      </c>
    </row>
    <row r="100" spans="1:9" x14ac:dyDescent="0.25">
      <c r="A100" t="s">
        <v>37</v>
      </c>
      <c r="B100" t="s">
        <v>2</v>
      </c>
      <c r="C100">
        <v>2226396.6599201928</v>
      </c>
      <c r="D100">
        <v>2119</v>
      </c>
      <c r="E100">
        <v>0</v>
      </c>
      <c r="F100">
        <v>1087721.2890000001</v>
      </c>
      <c r="G100">
        <f t="shared" si="1"/>
        <v>3314117.9489201931</v>
      </c>
    </row>
    <row r="101" spans="1:9" x14ac:dyDescent="0.25">
      <c r="A101" t="s">
        <v>37</v>
      </c>
      <c r="B101" t="s">
        <v>3</v>
      </c>
      <c r="C101">
        <v>1716443.5293327069</v>
      </c>
      <c r="D101">
        <v>1628</v>
      </c>
      <c r="E101">
        <v>0</v>
      </c>
      <c r="F101">
        <v>835682.04599999962</v>
      </c>
      <c r="G101">
        <f t="shared" si="1"/>
        <v>2552125.5753327068</v>
      </c>
    </row>
    <row r="102" spans="1:9" x14ac:dyDescent="0.25">
      <c r="A102" t="s">
        <v>37</v>
      </c>
      <c r="B102" t="s">
        <v>4</v>
      </c>
      <c r="C102">
        <v>4622840.9629339911</v>
      </c>
      <c r="D102">
        <v>4251</v>
      </c>
      <c r="E102">
        <v>0</v>
      </c>
      <c r="F102">
        <v>2182115.7140000002</v>
      </c>
      <c r="G102">
        <f t="shared" si="1"/>
        <v>6804956.6769339908</v>
      </c>
    </row>
    <row r="103" spans="1:9" x14ac:dyDescent="0.25">
      <c r="A103" t="s">
        <v>37</v>
      </c>
      <c r="B103" t="s">
        <v>5</v>
      </c>
      <c r="C103">
        <v>5653607.6776705924</v>
      </c>
      <c r="D103">
        <v>4912</v>
      </c>
      <c r="E103">
        <v>0</v>
      </c>
      <c r="F103">
        <v>2521419.0549999997</v>
      </c>
      <c r="G103">
        <f t="shared" si="1"/>
        <v>8175026.7326705921</v>
      </c>
    </row>
    <row r="104" spans="1:9" x14ac:dyDescent="0.25">
      <c r="A104" t="s">
        <v>37</v>
      </c>
      <c r="B104" t="s">
        <v>6</v>
      </c>
      <c r="C104">
        <v>6658802.7227445487</v>
      </c>
      <c r="D104">
        <v>6697</v>
      </c>
      <c r="E104">
        <v>0</v>
      </c>
      <c r="F104">
        <v>3437692.0580000021</v>
      </c>
      <c r="G104">
        <f t="shared" si="1"/>
        <v>10096494.780744551</v>
      </c>
    </row>
    <row r="105" spans="1:9" x14ac:dyDescent="0.25">
      <c r="A105" t="s">
        <v>37</v>
      </c>
      <c r="B105" t="s">
        <v>7</v>
      </c>
      <c r="C105">
        <v>10845858.731546661</v>
      </c>
      <c r="D105">
        <v>9990</v>
      </c>
      <c r="E105">
        <v>0</v>
      </c>
      <c r="F105">
        <v>5128048.9320000019</v>
      </c>
      <c r="G105">
        <f t="shared" si="1"/>
        <v>15973907.663546663</v>
      </c>
    </row>
    <row r="106" spans="1:9" x14ac:dyDescent="0.25">
      <c r="A106" t="s">
        <v>37</v>
      </c>
      <c r="B106" t="s">
        <v>8</v>
      </c>
      <c r="C106">
        <v>14232.916564040719</v>
      </c>
      <c r="D106">
        <v>85</v>
      </c>
      <c r="E106">
        <v>0</v>
      </c>
      <c r="F106">
        <v>43632.047999999995</v>
      </c>
      <c r="G106">
        <f t="shared" si="1"/>
        <v>57864.964564040711</v>
      </c>
    </row>
    <row r="107" spans="1:9" x14ac:dyDescent="0.25">
      <c r="A107" t="s">
        <v>37</v>
      </c>
      <c r="B107" t="s">
        <v>9</v>
      </c>
      <c r="C107">
        <v>43403265.904553644</v>
      </c>
      <c r="D107">
        <v>39735</v>
      </c>
      <c r="E107">
        <v>0</v>
      </c>
      <c r="F107">
        <v>20396699.131999999</v>
      </c>
      <c r="G107">
        <f t="shared" si="1"/>
        <v>63799965.036553644</v>
      </c>
    </row>
    <row r="108" spans="1:9" x14ac:dyDescent="0.25">
      <c r="A108" t="s">
        <v>37</v>
      </c>
      <c r="B108" t="s">
        <v>10</v>
      </c>
      <c r="C108">
        <v>4709204.8463170286</v>
      </c>
      <c r="D108">
        <v>4233</v>
      </c>
      <c r="E108">
        <v>0</v>
      </c>
      <c r="F108">
        <v>2172875.9890000001</v>
      </c>
      <c r="G108">
        <f t="shared" si="1"/>
        <v>6882080.8353170287</v>
      </c>
    </row>
    <row r="109" spans="1:9" x14ac:dyDescent="0.25">
      <c r="A109" t="s">
        <v>37</v>
      </c>
      <c r="B109" t="s">
        <v>11</v>
      </c>
      <c r="C109">
        <v>5021243.2696421454</v>
      </c>
      <c r="D109">
        <v>4584</v>
      </c>
      <c r="E109">
        <v>0</v>
      </c>
      <c r="F109">
        <v>2353050.6810000013</v>
      </c>
      <c r="G109">
        <f t="shared" si="1"/>
        <v>7374293.9506421462</v>
      </c>
    </row>
    <row r="110" spans="1:9" x14ac:dyDescent="0.25">
      <c r="A110" t="s">
        <v>37</v>
      </c>
      <c r="B110" t="s">
        <v>12</v>
      </c>
      <c r="C110">
        <v>14855782.368555635</v>
      </c>
      <c r="D110">
        <v>13872</v>
      </c>
      <c r="E110">
        <v>0</v>
      </c>
      <c r="F110">
        <v>7120750.2300000004</v>
      </c>
      <c r="G110">
        <f t="shared" si="1"/>
        <v>21976532.598555636</v>
      </c>
    </row>
    <row r="111" spans="1:9" x14ac:dyDescent="0.25">
      <c r="A111" t="s">
        <v>37</v>
      </c>
      <c r="B111" t="s">
        <v>13</v>
      </c>
      <c r="C111">
        <v>23512368.833607025</v>
      </c>
      <c r="D111">
        <v>22858</v>
      </c>
      <c r="E111">
        <v>0</v>
      </c>
      <c r="F111">
        <v>11733427.679000009</v>
      </c>
      <c r="G111">
        <f t="shared" si="1"/>
        <v>35245796.512607038</v>
      </c>
    </row>
    <row r="112" spans="1:9" x14ac:dyDescent="0.25">
      <c r="A112" t="s">
        <v>37</v>
      </c>
      <c r="B112" t="s">
        <v>14</v>
      </c>
      <c r="C112">
        <v>3600665.561538538</v>
      </c>
      <c r="D112">
        <v>3008</v>
      </c>
      <c r="E112">
        <v>0</v>
      </c>
      <c r="F112">
        <v>1544061.1819999996</v>
      </c>
      <c r="G112">
        <f t="shared" si="1"/>
        <v>5144726.743538538</v>
      </c>
    </row>
    <row r="113" spans="1:8" x14ac:dyDescent="0.25">
      <c r="A113" t="s">
        <v>37</v>
      </c>
      <c r="B113" t="s">
        <v>15</v>
      </c>
      <c r="C113">
        <v>3317835.1014166642</v>
      </c>
      <c r="D113">
        <v>2384</v>
      </c>
      <c r="E113">
        <v>0</v>
      </c>
      <c r="F113">
        <v>1223750.6160000004</v>
      </c>
      <c r="G113">
        <f t="shared" si="1"/>
        <v>4541585.7174166646</v>
      </c>
    </row>
    <row r="114" spans="1:8" x14ac:dyDescent="0.25">
      <c r="A114" t="s">
        <v>37</v>
      </c>
      <c r="B114" t="s">
        <v>16</v>
      </c>
      <c r="C114">
        <v>3184846.5393882161</v>
      </c>
      <c r="D114">
        <v>3034</v>
      </c>
      <c r="E114">
        <v>0</v>
      </c>
      <c r="F114">
        <v>1557407.453</v>
      </c>
      <c r="G114">
        <f t="shared" si="1"/>
        <v>4742253.9923882158</v>
      </c>
    </row>
    <row r="115" spans="1:8" x14ac:dyDescent="0.25">
      <c r="A115" t="s">
        <v>37</v>
      </c>
      <c r="B115" t="s">
        <v>17</v>
      </c>
      <c r="C115">
        <v>2232967.5634164861</v>
      </c>
      <c r="D115">
        <v>1831</v>
      </c>
      <c r="E115">
        <v>0</v>
      </c>
      <c r="F115">
        <v>939885.6449999999</v>
      </c>
      <c r="G115">
        <f t="shared" si="1"/>
        <v>3172853.2084164862</v>
      </c>
    </row>
    <row r="116" spans="1:8" x14ac:dyDescent="0.25">
      <c r="A116" t="s">
        <v>37</v>
      </c>
      <c r="B116" t="s">
        <v>18</v>
      </c>
      <c r="C116">
        <v>14410755.825077783</v>
      </c>
      <c r="D116">
        <v>12862</v>
      </c>
      <c r="E116">
        <v>0</v>
      </c>
      <c r="F116">
        <v>6602298.8400000026</v>
      </c>
      <c r="G116">
        <f t="shared" si="1"/>
        <v>21013054.665077787</v>
      </c>
    </row>
    <row r="117" spans="1:8" x14ac:dyDescent="0.25">
      <c r="A117" t="s">
        <v>37</v>
      </c>
      <c r="B117" t="s">
        <v>19</v>
      </c>
      <c r="C117">
        <v>6375070.5817605797</v>
      </c>
      <c r="D117">
        <v>5832</v>
      </c>
      <c r="E117">
        <v>0</v>
      </c>
      <c r="F117">
        <v>2993671.8120000004</v>
      </c>
      <c r="G117">
        <f t="shared" si="1"/>
        <v>9368742.3937605806</v>
      </c>
    </row>
    <row r="118" spans="1:8" x14ac:dyDescent="0.25">
      <c r="A118" t="s">
        <v>37</v>
      </c>
      <c r="B118" t="s">
        <v>20</v>
      </c>
      <c r="C118">
        <v>6042143.8853380624</v>
      </c>
      <c r="D118">
        <v>6068</v>
      </c>
      <c r="E118">
        <v>0</v>
      </c>
      <c r="F118">
        <v>3114814.9080000003</v>
      </c>
      <c r="G118">
        <f t="shared" si="1"/>
        <v>9156958.7933380622</v>
      </c>
    </row>
    <row r="119" spans="1:8" x14ac:dyDescent="0.25">
      <c r="A119" t="s">
        <v>37</v>
      </c>
      <c r="B119" t="s">
        <v>21</v>
      </c>
      <c r="C119">
        <v>3489094.7639757041</v>
      </c>
      <c r="D119">
        <v>3353</v>
      </c>
      <c r="E119">
        <v>0</v>
      </c>
      <c r="F119">
        <v>1721155.963</v>
      </c>
      <c r="G119">
        <f t="shared" si="1"/>
        <v>5210250.7269757036</v>
      </c>
    </row>
    <row r="120" spans="1:8" x14ac:dyDescent="0.25">
      <c r="A120" t="s">
        <v>37</v>
      </c>
      <c r="B120" t="s">
        <v>22</v>
      </c>
      <c r="C120">
        <v>3910753.841331678</v>
      </c>
      <c r="D120">
        <v>3559</v>
      </c>
      <c r="E120">
        <v>0</v>
      </c>
      <c r="F120">
        <v>1826899.5159999991</v>
      </c>
      <c r="G120">
        <f t="shared" si="1"/>
        <v>5737653.3573316773</v>
      </c>
    </row>
    <row r="121" spans="1:8" x14ac:dyDescent="0.25">
      <c r="A121" t="s">
        <v>37</v>
      </c>
      <c r="B121" t="s">
        <v>23</v>
      </c>
      <c r="C121">
        <v>1931900.2372625472</v>
      </c>
      <c r="D121">
        <v>1604</v>
      </c>
      <c r="E121">
        <v>0</v>
      </c>
      <c r="F121">
        <v>823362.40899999975</v>
      </c>
      <c r="G121">
        <f t="shared" si="1"/>
        <v>2755262.646262547</v>
      </c>
    </row>
    <row r="122" spans="1:8" x14ac:dyDescent="0.25">
      <c r="A122" t="s">
        <v>37</v>
      </c>
      <c r="B122" t="s">
        <v>42</v>
      </c>
      <c r="C122">
        <v>4373.2961699712696</v>
      </c>
      <c r="D122">
        <v>16</v>
      </c>
      <c r="E122">
        <v>0</v>
      </c>
      <c r="F122">
        <v>8213.0910000000003</v>
      </c>
      <c r="G122">
        <f t="shared" si="1"/>
        <v>12586.387169971269</v>
      </c>
    </row>
    <row r="123" spans="1:8" s="1" customFormat="1" x14ac:dyDescent="0.25">
      <c r="A123" s="1" t="s">
        <v>34</v>
      </c>
      <c r="B123" s="1" t="s">
        <v>0</v>
      </c>
      <c r="C123" s="1">
        <v>29514959.474308006</v>
      </c>
      <c r="D123" s="1">
        <v>22479</v>
      </c>
      <c r="E123">
        <v>0</v>
      </c>
      <c r="F123" s="1">
        <v>9812637.8919999991</v>
      </c>
      <c r="G123">
        <f t="shared" si="1"/>
        <v>39327597.366308004</v>
      </c>
      <c r="H123"/>
    </row>
    <row r="124" spans="1:8" x14ac:dyDescent="0.25">
      <c r="A124" t="s">
        <v>34</v>
      </c>
      <c r="B124" t="s">
        <v>1</v>
      </c>
      <c r="C124">
        <v>16795391.608233005</v>
      </c>
      <c r="D124">
        <v>14191</v>
      </c>
      <c r="E124">
        <v>0</v>
      </c>
      <c r="F124">
        <v>6194721.4869999997</v>
      </c>
      <c r="G124">
        <f t="shared" si="1"/>
        <v>22990113.095233005</v>
      </c>
    </row>
    <row r="125" spans="1:8" x14ac:dyDescent="0.25">
      <c r="A125" t="s">
        <v>34</v>
      </c>
      <c r="B125" t="s">
        <v>2</v>
      </c>
      <c r="C125">
        <v>14144846.494975073</v>
      </c>
      <c r="D125">
        <v>11086</v>
      </c>
      <c r="E125">
        <v>0</v>
      </c>
      <c r="F125">
        <v>4839312.409</v>
      </c>
      <c r="G125">
        <f t="shared" si="1"/>
        <v>18984158.903975073</v>
      </c>
    </row>
    <row r="126" spans="1:8" x14ac:dyDescent="0.25">
      <c r="A126" t="s">
        <v>34</v>
      </c>
      <c r="B126" t="s">
        <v>3</v>
      </c>
      <c r="C126">
        <v>10806914.844806861</v>
      </c>
      <c r="D126">
        <v>9216</v>
      </c>
      <c r="E126">
        <v>0</v>
      </c>
      <c r="F126">
        <v>4023011.2929999996</v>
      </c>
      <c r="G126">
        <f t="shared" si="1"/>
        <v>14829926.137806861</v>
      </c>
    </row>
    <row r="127" spans="1:8" x14ac:dyDescent="0.25">
      <c r="A127" t="s">
        <v>34</v>
      </c>
      <c r="B127" t="s">
        <v>4</v>
      </c>
      <c r="C127">
        <v>28128332.820371926</v>
      </c>
      <c r="D127">
        <v>25273</v>
      </c>
      <c r="E127">
        <v>0</v>
      </c>
      <c r="F127">
        <v>11032287.797999999</v>
      </c>
      <c r="G127">
        <f t="shared" si="1"/>
        <v>39160620.618371926</v>
      </c>
    </row>
    <row r="128" spans="1:8" x14ac:dyDescent="0.25">
      <c r="A128" t="s">
        <v>34</v>
      </c>
      <c r="B128" t="s">
        <v>5</v>
      </c>
      <c r="C128">
        <v>30783116.291395135</v>
      </c>
      <c r="D128">
        <v>25114</v>
      </c>
      <c r="E128">
        <v>0</v>
      </c>
      <c r="F128">
        <v>10962880.378</v>
      </c>
      <c r="G128">
        <f t="shared" si="1"/>
        <v>41745996.669395134</v>
      </c>
    </row>
    <row r="129" spans="1:7" x14ac:dyDescent="0.25">
      <c r="A129" t="s">
        <v>34</v>
      </c>
      <c r="B129" t="s">
        <v>6</v>
      </c>
      <c r="C129">
        <v>25942266.831724402</v>
      </c>
      <c r="D129">
        <v>19323</v>
      </c>
      <c r="E129">
        <v>0</v>
      </c>
      <c r="F129">
        <v>8434966.0589999966</v>
      </c>
      <c r="G129">
        <f t="shared" si="1"/>
        <v>34377232.890724398</v>
      </c>
    </row>
    <row r="130" spans="1:7" x14ac:dyDescent="0.25">
      <c r="A130" t="s">
        <v>34</v>
      </c>
      <c r="B130" t="s">
        <v>7</v>
      </c>
      <c r="C130">
        <v>44331000.706641942</v>
      </c>
      <c r="D130">
        <v>31056</v>
      </c>
      <c r="E130">
        <v>0</v>
      </c>
      <c r="F130">
        <v>13556709.926999999</v>
      </c>
      <c r="G130">
        <f t="shared" si="1"/>
        <v>57887710.633641943</v>
      </c>
    </row>
    <row r="131" spans="1:7" x14ac:dyDescent="0.25">
      <c r="A131" t="s">
        <v>34</v>
      </c>
      <c r="B131" t="s">
        <v>8</v>
      </c>
      <c r="C131">
        <v>43971.906099584958</v>
      </c>
      <c r="D131">
        <v>60</v>
      </c>
      <c r="E131">
        <v>0</v>
      </c>
      <c r="F131">
        <v>26191.481</v>
      </c>
      <c r="G131">
        <f t="shared" ref="G131:G194" si="2">+F131+C131</f>
        <v>70163.387099584957</v>
      </c>
    </row>
    <row r="132" spans="1:7" x14ac:dyDescent="0.25">
      <c r="A132" t="s">
        <v>34</v>
      </c>
      <c r="B132" t="s">
        <v>9</v>
      </c>
      <c r="C132">
        <v>185431028.35062253</v>
      </c>
      <c r="D132">
        <v>127982</v>
      </c>
      <c r="E132">
        <v>0</v>
      </c>
      <c r="F132">
        <v>55867299.377000004</v>
      </c>
      <c r="G132">
        <f t="shared" si="2"/>
        <v>241298327.72762254</v>
      </c>
    </row>
    <row r="133" spans="1:7" x14ac:dyDescent="0.25">
      <c r="A133" t="s">
        <v>34</v>
      </c>
      <c r="B133" t="s">
        <v>10</v>
      </c>
      <c r="C133">
        <v>24955733.176245775</v>
      </c>
      <c r="D133">
        <v>21094</v>
      </c>
      <c r="E133">
        <v>0</v>
      </c>
      <c r="F133">
        <v>9208051.2340000011</v>
      </c>
      <c r="G133">
        <f t="shared" si="2"/>
        <v>34163784.410245776</v>
      </c>
    </row>
    <row r="134" spans="1:7" x14ac:dyDescent="0.25">
      <c r="A134" t="s">
        <v>34</v>
      </c>
      <c r="B134" t="s">
        <v>11</v>
      </c>
      <c r="C134">
        <v>28536605.62326102</v>
      </c>
      <c r="D134">
        <v>21629</v>
      </c>
      <c r="E134">
        <v>0</v>
      </c>
      <c r="F134">
        <v>9441591.9340000004</v>
      </c>
      <c r="G134">
        <f t="shared" si="2"/>
        <v>37978197.55726102</v>
      </c>
    </row>
    <row r="135" spans="1:7" x14ac:dyDescent="0.25">
      <c r="A135" t="s">
        <v>34</v>
      </c>
      <c r="B135" t="s">
        <v>12</v>
      </c>
      <c r="C135">
        <v>79881485.367652178</v>
      </c>
      <c r="D135">
        <v>57817</v>
      </c>
      <c r="E135">
        <v>0</v>
      </c>
      <c r="F135">
        <v>25238546.418999996</v>
      </c>
      <c r="G135">
        <f t="shared" si="2"/>
        <v>105120031.78665218</v>
      </c>
    </row>
    <row r="136" spans="1:7" x14ac:dyDescent="0.25">
      <c r="A136" t="s">
        <v>34</v>
      </c>
      <c r="B136" t="s">
        <v>13</v>
      </c>
      <c r="C136">
        <v>122046783.07911265</v>
      </c>
      <c r="D136">
        <v>95732</v>
      </c>
      <c r="E136">
        <v>0</v>
      </c>
      <c r="F136">
        <v>41789379.004999995</v>
      </c>
      <c r="G136">
        <f t="shared" si="2"/>
        <v>163836162.08411264</v>
      </c>
    </row>
    <row r="137" spans="1:7" x14ac:dyDescent="0.25">
      <c r="A137" t="s">
        <v>34</v>
      </c>
      <c r="B137" t="s">
        <v>14</v>
      </c>
      <c r="C137">
        <v>8249386.2683982104</v>
      </c>
      <c r="D137">
        <v>9083</v>
      </c>
      <c r="E137">
        <v>0</v>
      </c>
      <c r="F137">
        <v>3964953.5099999993</v>
      </c>
      <c r="G137">
        <f t="shared" si="2"/>
        <v>12214339.77839821</v>
      </c>
    </row>
    <row r="138" spans="1:7" x14ac:dyDescent="0.25">
      <c r="A138" t="s">
        <v>34</v>
      </c>
      <c r="B138" t="s">
        <v>15</v>
      </c>
      <c r="C138">
        <v>4767536.3860803992</v>
      </c>
      <c r="D138">
        <v>7245</v>
      </c>
      <c r="E138">
        <v>0</v>
      </c>
      <c r="F138">
        <v>3162621.1790000014</v>
      </c>
      <c r="G138">
        <f t="shared" si="2"/>
        <v>7930157.5650804006</v>
      </c>
    </row>
    <row r="139" spans="1:7" x14ac:dyDescent="0.25">
      <c r="A139" t="s">
        <v>34</v>
      </c>
      <c r="B139" t="s">
        <v>16</v>
      </c>
      <c r="C139">
        <v>7453404.3088491485</v>
      </c>
      <c r="D139">
        <v>6640</v>
      </c>
      <c r="E139">
        <v>0</v>
      </c>
      <c r="F139">
        <v>2898523.7600000002</v>
      </c>
      <c r="G139">
        <f t="shared" si="2"/>
        <v>10351928.068849148</v>
      </c>
    </row>
    <row r="140" spans="1:7" x14ac:dyDescent="0.25">
      <c r="A140" t="s">
        <v>34</v>
      </c>
      <c r="B140" t="s">
        <v>17</v>
      </c>
      <c r="C140">
        <v>2826166.5020405911</v>
      </c>
      <c r="D140">
        <v>3534</v>
      </c>
      <c r="E140">
        <v>0</v>
      </c>
      <c r="F140">
        <v>1542678.156</v>
      </c>
      <c r="G140">
        <f t="shared" si="2"/>
        <v>4368844.6580405906</v>
      </c>
    </row>
    <row r="141" spans="1:7" x14ac:dyDescent="0.25">
      <c r="A141" t="s">
        <v>34</v>
      </c>
      <c r="B141" t="s">
        <v>18</v>
      </c>
      <c r="C141">
        <v>44034166.501498945</v>
      </c>
      <c r="D141">
        <v>35447</v>
      </c>
      <c r="E141">
        <v>0</v>
      </c>
      <c r="F141">
        <v>15473489.718999999</v>
      </c>
      <c r="G141">
        <f t="shared" si="2"/>
        <v>59507656.220498942</v>
      </c>
    </row>
    <row r="142" spans="1:7" x14ac:dyDescent="0.25">
      <c r="A142" t="s">
        <v>34</v>
      </c>
      <c r="B142" t="s">
        <v>19</v>
      </c>
      <c r="C142">
        <v>30386084.747130465</v>
      </c>
      <c r="D142">
        <v>22822</v>
      </c>
      <c r="E142">
        <v>0</v>
      </c>
      <c r="F142">
        <v>9962365.8490000013</v>
      </c>
      <c r="G142">
        <f t="shared" si="2"/>
        <v>40348450.596130468</v>
      </c>
    </row>
    <row r="143" spans="1:7" x14ac:dyDescent="0.25">
      <c r="A143" t="s">
        <v>34</v>
      </c>
      <c r="B143" t="s">
        <v>20</v>
      </c>
      <c r="C143">
        <v>25613756.392320007</v>
      </c>
      <c r="D143">
        <v>19839</v>
      </c>
      <c r="E143">
        <v>0</v>
      </c>
      <c r="F143">
        <v>8660212.7829999998</v>
      </c>
      <c r="G143">
        <f t="shared" si="2"/>
        <v>34273969.175320007</v>
      </c>
    </row>
    <row r="144" spans="1:7" x14ac:dyDescent="0.25">
      <c r="A144" t="s">
        <v>34</v>
      </c>
      <c r="B144" t="s">
        <v>21</v>
      </c>
      <c r="C144">
        <v>9769850.4565035142</v>
      </c>
      <c r="D144">
        <v>8149</v>
      </c>
      <c r="E144">
        <v>0</v>
      </c>
      <c r="F144">
        <v>3557239.4750000006</v>
      </c>
      <c r="G144">
        <f t="shared" si="2"/>
        <v>13327089.931503516</v>
      </c>
    </row>
    <row r="145" spans="1:8" x14ac:dyDescent="0.25">
      <c r="A145" t="s">
        <v>34</v>
      </c>
      <c r="B145" t="s">
        <v>22</v>
      </c>
      <c r="C145">
        <v>23757108.359550916</v>
      </c>
      <c r="D145">
        <v>20072</v>
      </c>
      <c r="E145">
        <v>0</v>
      </c>
      <c r="F145">
        <v>8761923.0270000007</v>
      </c>
      <c r="G145">
        <f t="shared" si="2"/>
        <v>32519031.386550918</v>
      </c>
    </row>
    <row r="146" spans="1:8" x14ac:dyDescent="0.25">
      <c r="A146" t="s">
        <v>34</v>
      </c>
      <c r="B146" t="s">
        <v>23</v>
      </c>
      <c r="C146">
        <v>4024275.2720985673</v>
      </c>
      <c r="D146">
        <v>4096</v>
      </c>
      <c r="E146">
        <v>0</v>
      </c>
      <c r="F146">
        <v>1788005.0180000004</v>
      </c>
      <c r="G146">
        <f t="shared" si="2"/>
        <v>5812280.2900985675</v>
      </c>
    </row>
    <row r="147" spans="1:8" x14ac:dyDescent="0.25">
      <c r="A147" t="s">
        <v>34</v>
      </c>
      <c r="B147" t="s">
        <v>42</v>
      </c>
      <c r="C147">
        <v>45463.646079172024</v>
      </c>
      <c r="D147">
        <v>94</v>
      </c>
      <c r="E147">
        <v>0</v>
      </c>
      <c r="F147">
        <v>41033.317999999999</v>
      </c>
      <c r="G147">
        <f t="shared" si="2"/>
        <v>86496.96407917203</v>
      </c>
    </row>
    <row r="148" spans="1:8" s="1" customFormat="1" x14ac:dyDescent="0.25">
      <c r="A148" s="1" t="s">
        <v>35</v>
      </c>
      <c r="B148" s="1" t="s">
        <v>0</v>
      </c>
      <c r="C148" s="1">
        <v>17617103.437259447</v>
      </c>
      <c r="D148" s="1">
        <v>9500</v>
      </c>
      <c r="E148" s="1">
        <v>0</v>
      </c>
      <c r="F148" s="1">
        <v>5845589.0949999988</v>
      </c>
      <c r="G148">
        <f t="shared" si="2"/>
        <v>23462692.532259446</v>
      </c>
      <c r="H148"/>
    </row>
    <row r="149" spans="1:8" x14ac:dyDescent="0.25">
      <c r="A149" t="s">
        <v>35</v>
      </c>
      <c r="B149" t="s">
        <v>1</v>
      </c>
      <c r="C149">
        <v>18297755.822703496</v>
      </c>
      <c r="D149">
        <v>8043</v>
      </c>
      <c r="E149">
        <v>0</v>
      </c>
      <c r="F149">
        <v>4949060.3269999996</v>
      </c>
      <c r="G149">
        <f t="shared" si="2"/>
        <v>23246816.149703495</v>
      </c>
    </row>
    <row r="150" spans="1:8" x14ac:dyDescent="0.25">
      <c r="A150" t="s">
        <v>35</v>
      </c>
      <c r="B150" t="s">
        <v>2</v>
      </c>
      <c r="C150">
        <v>8040476.0361198932</v>
      </c>
      <c r="D150">
        <v>3997</v>
      </c>
      <c r="E150">
        <v>0</v>
      </c>
      <c r="F150">
        <v>2459454.6979999994</v>
      </c>
      <c r="G150">
        <f t="shared" si="2"/>
        <v>10499930.734119892</v>
      </c>
    </row>
    <row r="151" spans="1:8" x14ac:dyDescent="0.25">
      <c r="A151" t="s">
        <v>35</v>
      </c>
      <c r="B151" t="s">
        <v>3</v>
      </c>
      <c r="C151">
        <v>7735797.4913623789</v>
      </c>
      <c r="D151">
        <v>3527</v>
      </c>
      <c r="E151">
        <v>0</v>
      </c>
      <c r="F151">
        <v>2170251.8680000002</v>
      </c>
      <c r="G151">
        <f t="shared" si="2"/>
        <v>9906049.3593623787</v>
      </c>
    </row>
    <row r="152" spans="1:8" x14ac:dyDescent="0.25">
      <c r="A152" t="s">
        <v>35</v>
      </c>
      <c r="B152" t="s">
        <v>4</v>
      </c>
      <c r="C152">
        <v>32506969.256980151</v>
      </c>
      <c r="D152">
        <v>13550</v>
      </c>
      <c r="E152">
        <v>0</v>
      </c>
      <c r="F152">
        <v>8337656.0249999994</v>
      </c>
      <c r="G152">
        <f t="shared" si="2"/>
        <v>40844625.281980149</v>
      </c>
    </row>
    <row r="153" spans="1:8" x14ac:dyDescent="0.25">
      <c r="A153" t="s">
        <v>35</v>
      </c>
      <c r="B153" t="s">
        <v>5</v>
      </c>
      <c r="C153">
        <v>28493946.315662287</v>
      </c>
      <c r="D153">
        <v>13498</v>
      </c>
      <c r="E153">
        <v>0</v>
      </c>
      <c r="F153">
        <v>8305659.1220000032</v>
      </c>
      <c r="G153">
        <f t="shared" si="2"/>
        <v>36799605.437662289</v>
      </c>
    </row>
    <row r="154" spans="1:8" x14ac:dyDescent="0.25">
      <c r="A154" t="s">
        <v>35</v>
      </c>
      <c r="B154" t="s">
        <v>6</v>
      </c>
      <c r="C154">
        <v>11137961.628981363</v>
      </c>
      <c r="D154">
        <v>8246</v>
      </c>
      <c r="E154">
        <v>0</v>
      </c>
      <c r="F154">
        <v>5073971.3389999988</v>
      </c>
      <c r="G154">
        <f t="shared" si="2"/>
        <v>16211932.967981361</v>
      </c>
    </row>
    <row r="155" spans="1:8" x14ac:dyDescent="0.25">
      <c r="A155" t="s">
        <v>35</v>
      </c>
      <c r="B155" t="s">
        <v>7</v>
      </c>
      <c r="C155">
        <v>51961483.475981675</v>
      </c>
      <c r="D155">
        <v>41254</v>
      </c>
      <c r="E155">
        <v>0</v>
      </c>
      <c r="F155">
        <v>25384624.487000003</v>
      </c>
      <c r="G155">
        <f t="shared" si="2"/>
        <v>77346107.962981671</v>
      </c>
    </row>
    <row r="156" spans="1:8" x14ac:dyDescent="0.25">
      <c r="A156" t="s">
        <v>35</v>
      </c>
      <c r="B156" t="s">
        <v>8</v>
      </c>
      <c r="C156">
        <v>12454.854188078632</v>
      </c>
      <c r="D156">
        <v>160</v>
      </c>
      <c r="E156">
        <v>0</v>
      </c>
      <c r="F156">
        <v>98452.025999999998</v>
      </c>
      <c r="G156">
        <f t="shared" si="2"/>
        <v>110906.88018807863</v>
      </c>
    </row>
    <row r="157" spans="1:8" x14ac:dyDescent="0.25">
      <c r="A157" t="s">
        <v>35</v>
      </c>
      <c r="B157" t="s">
        <v>9</v>
      </c>
      <c r="C157">
        <v>76278651.814526498</v>
      </c>
      <c r="D157">
        <v>70115</v>
      </c>
      <c r="E157">
        <v>0</v>
      </c>
      <c r="F157">
        <v>43143524.170999996</v>
      </c>
      <c r="G157">
        <f t="shared" si="2"/>
        <v>119422175.9855265</v>
      </c>
    </row>
    <row r="158" spans="1:8" x14ac:dyDescent="0.25">
      <c r="A158" t="s">
        <v>35</v>
      </c>
      <c r="B158" t="s">
        <v>10</v>
      </c>
      <c r="C158">
        <v>23502977.133542564</v>
      </c>
      <c r="D158">
        <v>12851</v>
      </c>
      <c r="E158">
        <v>0</v>
      </c>
      <c r="F158">
        <v>7907543.7340000011</v>
      </c>
      <c r="G158">
        <f t="shared" si="2"/>
        <v>31410520.867542565</v>
      </c>
    </row>
    <row r="159" spans="1:8" x14ac:dyDescent="0.25">
      <c r="A159" t="s">
        <v>35</v>
      </c>
      <c r="B159" t="s">
        <v>11</v>
      </c>
      <c r="C159">
        <v>22921511.822023474</v>
      </c>
      <c r="D159">
        <v>13783</v>
      </c>
      <c r="E159">
        <v>0</v>
      </c>
      <c r="F159">
        <v>8481026.7970000003</v>
      </c>
      <c r="G159">
        <f t="shared" si="2"/>
        <v>31402538.619023472</v>
      </c>
    </row>
    <row r="160" spans="1:8" x14ac:dyDescent="0.25">
      <c r="A160" t="s">
        <v>35</v>
      </c>
      <c r="B160" t="s">
        <v>12</v>
      </c>
      <c r="C160">
        <v>40666269.829623356</v>
      </c>
      <c r="D160">
        <v>25684</v>
      </c>
      <c r="E160">
        <v>0</v>
      </c>
      <c r="F160">
        <v>15804011.622</v>
      </c>
      <c r="G160">
        <f t="shared" si="2"/>
        <v>56470281.451623358</v>
      </c>
    </row>
    <row r="161" spans="1:8" x14ac:dyDescent="0.25">
      <c r="A161" t="s">
        <v>35</v>
      </c>
      <c r="B161" t="s">
        <v>13</v>
      </c>
      <c r="C161">
        <v>70935410.38578698</v>
      </c>
      <c r="D161">
        <v>42954</v>
      </c>
      <c r="E161">
        <v>0</v>
      </c>
      <c r="F161">
        <v>26430677.276999988</v>
      </c>
      <c r="G161">
        <f t="shared" si="2"/>
        <v>97366087.662786961</v>
      </c>
    </row>
    <row r="162" spans="1:8" x14ac:dyDescent="0.25">
      <c r="A162" t="s">
        <v>35</v>
      </c>
      <c r="B162" t="s">
        <v>14</v>
      </c>
      <c r="C162">
        <v>30913058.771483295</v>
      </c>
      <c r="D162">
        <v>14248</v>
      </c>
      <c r="E162">
        <v>0</v>
      </c>
      <c r="F162">
        <v>8767152.9969999995</v>
      </c>
      <c r="G162">
        <f t="shared" si="2"/>
        <v>39680211.768483296</v>
      </c>
    </row>
    <row r="163" spans="1:8" x14ac:dyDescent="0.25">
      <c r="A163" t="s">
        <v>35</v>
      </c>
      <c r="B163" t="s">
        <v>15</v>
      </c>
      <c r="C163">
        <v>16627714.955269333</v>
      </c>
      <c r="D163">
        <v>5981</v>
      </c>
      <c r="E163">
        <v>0</v>
      </c>
      <c r="F163">
        <v>3680259.8309999993</v>
      </c>
      <c r="G163">
        <f t="shared" si="2"/>
        <v>20307974.786269333</v>
      </c>
    </row>
    <row r="164" spans="1:8" x14ac:dyDescent="0.25">
      <c r="A164" t="s">
        <v>35</v>
      </c>
      <c r="B164" t="s">
        <v>16</v>
      </c>
      <c r="C164">
        <v>15054991.681766819</v>
      </c>
      <c r="D164">
        <v>8623</v>
      </c>
      <c r="E164">
        <v>0</v>
      </c>
      <c r="F164">
        <v>5305948.9230000004</v>
      </c>
      <c r="G164">
        <f t="shared" si="2"/>
        <v>20360940.60476682</v>
      </c>
    </row>
    <row r="165" spans="1:8" x14ac:dyDescent="0.25">
      <c r="A165" t="s">
        <v>35</v>
      </c>
      <c r="B165" t="s">
        <v>17</v>
      </c>
      <c r="C165">
        <v>10047605.344403472</v>
      </c>
      <c r="D165">
        <v>5166</v>
      </c>
      <c r="E165">
        <v>0</v>
      </c>
      <c r="F165">
        <v>3178769.8169999993</v>
      </c>
      <c r="G165">
        <f t="shared" si="2"/>
        <v>13226375.161403472</v>
      </c>
    </row>
    <row r="166" spans="1:8" x14ac:dyDescent="0.25">
      <c r="A166" t="s">
        <v>35</v>
      </c>
      <c r="B166" t="s">
        <v>18</v>
      </c>
      <c r="C166">
        <v>26614191.898592912</v>
      </c>
      <c r="D166">
        <v>25202</v>
      </c>
      <c r="E166">
        <v>0</v>
      </c>
      <c r="F166">
        <v>15507424.891999997</v>
      </c>
      <c r="G166">
        <f t="shared" si="2"/>
        <v>42121616.790592909</v>
      </c>
    </row>
    <row r="167" spans="1:8" x14ac:dyDescent="0.25">
      <c r="A167" t="s">
        <v>35</v>
      </c>
      <c r="B167" t="s">
        <v>19</v>
      </c>
      <c r="C167">
        <v>19487264.768989183</v>
      </c>
      <c r="D167">
        <v>12016</v>
      </c>
      <c r="E167">
        <v>0</v>
      </c>
      <c r="F167">
        <v>7393747.2220000001</v>
      </c>
      <c r="G167">
        <f t="shared" si="2"/>
        <v>26881011.990989182</v>
      </c>
    </row>
    <row r="168" spans="1:8" x14ac:dyDescent="0.25">
      <c r="A168" t="s">
        <v>35</v>
      </c>
      <c r="B168" t="s">
        <v>20</v>
      </c>
      <c r="C168">
        <v>16217672.973359002</v>
      </c>
      <c r="D168">
        <v>9334</v>
      </c>
      <c r="E168">
        <v>0</v>
      </c>
      <c r="F168">
        <v>5743445.1190000009</v>
      </c>
      <c r="G168">
        <f t="shared" si="2"/>
        <v>21961118.092359003</v>
      </c>
    </row>
    <row r="169" spans="1:8" x14ac:dyDescent="0.25">
      <c r="A169" t="s">
        <v>35</v>
      </c>
      <c r="B169" t="s">
        <v>21</v>
      </c>
      <c r="C169">
        <v>12831593.422839575</v>
      </c>
      <c r="D169">
        <v>9198</v>
      </c>
      <c r="E169">
        <v>0</v>
      </c>
      <c r="F169">
        <v>5659760.8960000016</v>
      </c>
      <c r="G169">
        <f t="shared" si="2"/>
        <v>18491354.318839576</v>
      </c>
    </row>
    <row r="170" spans="1:8" x14ac:dyDescent="0.25">
      <c r="A170" t="s">
        <v>35</v>
      </c>
      <c r="B170" t="s">
        <v>22</v>
      </c>
      <c r="C170">
        <v>15286798.723086627</v>
      </c>
      <c r="D170">
        <v>6789</v>
      </c>
      <c r="E170">
        <v>0</v>
      </c>
      <c r="F170">
        <v>4177442.5670000007</v>
      </c>
      <c r="G170">
        <f t="shared" si="2"/>
        <v>19464241.290086627</v>
      </c>
    </row>
    <row r="171" spans="1:8" x14ac:dyDescent="0.25">
      <c r="A171" t="s">
        <v>35</v>
      </c>
      <c r="B171" t="s">
        <v>23</v>
      </c>
      <c r="C171">
        <v>6386705.4672593977</v>
      </c>
      <c r="D171">
        <v>3388</v>
      </c>
      <c r="E171">
        <v>0</v>
      </c>
      <c r="F171">
        <v>2084721.6720000003</v>
      </c>
      <c r="G171">
        <f t="shared" si="2"/>
        <v>8471427.139259398</v>
      </c>
    </row>
    <row r="172" spans="1:8" x14ac:dyDescent="0.25">
      <c r="A172" t="s">
        <v>35</v>
      </c>
      <c r="B172" t="s">
        <v>42</v>
      </c>
      <c r="C172">
        <v>35956.493208708911</v>
      </c>
      <c r="D172">
        <v>182</v>
      </c>
      <c r="E172">
        <v>0</v>
      </c>
      <c r="F172">
        <v>111989.181</v>
      </c>
      <c r="G172">
        <f t="shared" si="2"/>
        <v>147945.67420870892</v>
      </c>
    </row>
    <row r="173" spans="1:8" s="1" customFormat="1" x14ac:dyDescent="0.25">
      <c r="A173" s="1" t="s">
        <v>36</v>
      </c>
      <c r="B173" s="1" t="s">
        <v>0</v>
      </c>
      <c r="C173" s="1">
        <v>8033782.3139211461</v>
      </c>
      <c r="D173" s="1">
        <v>1411</v>
      </c>
      <c r="E173">
        <v>0</v>
      </c>
      <c r="F173" s="1">
        <v>3012486.3929999988</v>
      </c>
      <c r="G173">
        <f t="shared" si="2"/>
        <v>11046268.706921145</v>
      </c>
      <c r="H173"/>
    </row>
    <row r="174" spans="1:8" x14ac:dyDescent="0.25">
      <c r="A174" t="s">
        <v>36</v>
      </c>
      <c r="B174" t="s">
        <v>1</v>
      </c>
      <c r="C174">
        <v>4917765.0579273067</v>
      </c>
      <c r="D174">
        <v>918</v>
      </c>
      <c r="E174">
        <v>0</v>
      </c>
      <c r="F174">
        <v>1959930.8999999997</v>
      </c>
      <c r="G174">
        <f t="shared" si="2"/>
        <v>6877695.9579273062</v>
      </c>
    </row>
    <row r="175" spans="1:8" x14ac:dyDescent="0.25">
      <c r="A175" t="s">
        <v>36</v>
      </c>
      <c r="B175" t="s">
        <v>2</v>
      </c>
      <c r="C175">
        <v>4882216.2091551982</v>
      </c>
      <c r="D175">
        <v>867</v>
      </c>
      <c r="E175">
        <v>0</v>
      </c>
      <c r="F175">
        <v>1851045.8519999995</v>
      </c>
      <c r="G175">
        <f t="shared" si="2"/>
        <v>6733262.0611551981</v>
      </c>
    </row>
    <row r="176" spans="1:8" x14ac:dyDescent="0.25">
      <c r="A176" t="s">
        <v>36</v>
      </c>
      <c r="B176" t="s">
        <v>3</v>
      </c>
      <c r="C176">
        <v>2433378.3756398493</v>
      </c>
      <c r="D176">
        <v>414</v>
      </c>
      <c r="E176">
        <v>0</v>
      </c>
      <c r="F176">
        <v>883890.40899999975</v>
      </c>
      <c r="G176">
        <f t="shared" si="2"/>
        <v>3317268.7846398493</v>
      </c>
    </row>
    <row r="177" spans="1:7" x14ac:dyDescent="0.25">
      <c r="A177" t="s">
        <v>36</v>
      </c>
      <c r="B177" t="s">
        <v>4</v>
      </c>
      <c r="C177">
        <v>7312655.9238060033</v>
      </c>
      <c r="D177">
        <v>1318</v>
      </c>
      <c r="E177">
        <v>0</v>
      </c>
      <c r="F177">
        <v>2813931.2950000004</v>
      </c>
      <c r="G177">
        <f t="shared" si="2"/>
        <v>10126587.218806004</v>
      </c>
    </row>
    <row r="178" spans="1:7" x14ac:dyDescent="0.25">
      <c r="A178" t="s">
        <v>36</v>
      </c>
      <c r="B178" t="s">
        <v>5</v>
      </c>
      <c r="C178">
        <v>6003614.2482476318</v>
      </c>
      <c r="D178">
        <v>1121</v>
      </c>
      <c r="E178">
        <v>0</v>
      </c>
      <c r="F178">
        <v>2393336.0989999999</v>
      </c>
      <c r="G178">
        <f t="shared" si="2"/>
        <v>8396950.3472476322</v>
      </c>
    </row>
    <row r="179" spans="1:7" x14ac:dyDescent="0.25">
      <c r="A179" t="s">
        <v>36</v>
      </c>
      <c r="B179" t="s">
        <v>6</v>
      </c>
      <c r="C179">
        <v>16934425.571286313</v>
      </c>
      <c r="D179">
        <v>3179</v>
      </c>
      <c r="E179">
        <v>0</v>
      </c>
      <c r="F179">
        <v>6787168.1180000007</v>
      </c>
      <c r="G179">
        <f t="shared" si="2"/>
        <v>23721593.689286314</v>
      </c>
    </row>
    <row r="180" spans="1:7" x14ac:dyDescent="0.25">
      <c r="A180" t="s">
        <v>36</v>
      </c>
      <c r="B180" t="s">
        <v>7</v>
      </c>
      <c r="C180">
        <v>10610200.236571949</v>
      </c>
      <c r="D180">
        <v>1875</v>
      </c>
      <c r="E180">
        <v>0</v>
      </c>
      <c r="F180">
        <v>4003126.8389999997</v>
      </c>
      <c r="G180">
        <f t="shared" si="2"/>
        <v>14613327.075571949</v>
      </c>
    </row>
    <row r="181" spans="1:7" x14ac:dyDescent="0.25">
      <c r="A181" t="s">
        <v>36</v>
      </c>
      <c r="B181" t="s">
        <v>8</v>
      </c>
      <c r="C181">
        <v>132014.16979561793</v>
      </c>
      <c r="D181">
        <v>30</v>
      </c>
      <c r="E181">
        <v>0</v>
      </c>
      <c r="F181">
        <v>64050.029999999992</v>
      </c>
      <c r="G181">
        <f t="shared" si="2"/>
        <v>196064.19979561793</v>
      </c>
    </row>
    <row r="182" spans="1:7" x14ac:dyDescent="0.25">
      <c r="A182" t="s">
        <v>36</v>
      </c>
      <c r="B182" t="s">
        <v>9</v>
      </c>
      <c r="C182">
        <v>59144717.754950009</v>
      </c>
      <c r="D182">
        <v>11319</v>
      </c>
      <c r="E182">
        <v>0</v>
      </c>
      <c r="F182">
        <v>24166076.065999992</v>
      </c>
      <c r="G182">
        <f t="shared" si="2"/>
        <v>83310793.820950001</v>
      </c>
    </row>
    <row r="183" spans="1:7" x14ac:dyDescent="0.25">
      <c r="A183" t="s">
        <v>36</v>
      </c>
      <c r="B183" t="s">
        <v>10</v>
      </c>
      <c r="C183">
        <v>7311702.1708404683</v>
      </c>
      <c r="D183">
        <v>1261</v>
      </c>
      <c r="E183">
        <v>0</v>
      </c>
      <c r="F183">
        <v>2692236.2379999999</v>
      </c>
      <c r="G183">
        <f t="shared" si="2"/>
        <v>10003938.408840468</v>
      </c>
    </row>
    <row r="184" spans="1:7" x14ac:dyDescent="0.25">
      <c r="A184" t="s">
        <v>36</v>
      </c>
      <c r="B184" t="s">
        <v>11</v>
      </c>
      <c r="C184">
        <v>13879055.881531326</v>
      </c>
      <c r="D184">
        <v>2532</v>
      </c>
      <c r="E184">
        <v>0</v>
      </c>
      <c r="F184">
        <v>5405822.4880000046</v>
      </c>
      <c r="G184">
        <f t="shared" si="2"/>
        <v>19284878.36953133</v>
      </c>
    </row>
    <row r="185" spans="1:7" x14ac:dyDescent="0.25">
      <c r="A185" t="s">
        <v>36</v>
      </c>
      <c r="B185" t="s">
        <v>12</v>
      </c>
      <c r="C185">
        <v>24606893.249228574</v>
      </c>
      <c r="D185">
        <v>4326</v>
      </c>
      <c r="E185">
        <v>0</v>
      </c>
      <c r="F185">
        <v>9236014.2310000006</v>
      </c>
      <c r="G185">
        <f t="shared" si="2"/>
        <v>33842907.480228573</v>
      </c>
    </row>
    <row r="186" spans="1:7" x14ac:dyDescent="0.25">
      <c r="A186" t="s">
        <v>36</v>
      </c>
      <c r="B186" t="s">
        <v>13</v>
      </c>
      <c r="C186">
        <v>41929444.851763889</v>
      </c>
      <c r="D186">
        <v>7615</v>
      </c>
      <c r="E186">
        <v>0</v>
      </c>
      <c r="F186">
        <v>16258032.444999998</v>
      </c>
      <c r="G186">
        <f t="shared" si="2"/>
        <v>58187477.296763889</v>
      </c>
    </row>
    <row r="187" spans="1:7" x14ac:dyDescent="0.25">
      <c r="A187" t="s">
        <v>36</v>
      </c>
      <c r="B187" t="s">
        <v>14</v>
      </c>
      <c r="C187">
        <v>3537543.3147894554</v>
      </c>
      <c r="D187">
        <v>602</v>
      </c>
      <c r="E187">
        <v>0</v>
      </c>
      <c r="F187">
        <v>1285270.5969999996</v>
      </c>
      <c r="G187">
        <f t="shared" si="2"/>
        <v>4822813.9117894545</v>
      </c>
    </row>
    <row r="188" spans="1:7" x14ac:dyDescent="0.25">
      <c r="A188" t="s">
        <v>36</v>
      </c>
      <c r="B188" t="s">
        <v>15</v>
      </c>
      <c r="C188">
        <v>2787688.4340039939</v>
      </c>
      <c r="D188">
        <v>533</v>
      </c>
      <c r="E188">
        <v>0</v>
      </c>
      <c r="F188">
        <v>1137955.5210000002</v>
      </c>
      <c r="G188">
        <f t="shared" si="2"/>
        <v>3925643.9550039941</v>
      </c>
    </row>
    <row r="189" spans="1:7" x14ac:dyDescent="0.25">
      <c r="A189" t="s">
        <v>36</v>
      </c>
      <c r="B189" t="s">
        <v>16</v>
      </c>
      <c r="C189">
        <v>2801017.7625380568</v>
      </c>
      <c r="D189">
        <v>480</v>
      </c>
      <c r="E189">
        <v>0</v>
      </c>
      <c r="F189">
        <v>1024800.475</v>
      </c>
      <c r="G189">
        <f t="shared" si="2"/>
        <v>3825818.2375380569</v>
      </c>
    </row>
    <row r="190" spans="1:7" x14ac:dyDescent="0.25">
      <c r="A190" t="s">
        <v>36</v>
      </c>
      <c r="B190" t="s">
        <v>17</v>
      </c>
      <c r="C190">
        <v>2998208.1329930387</v>
      </c>
      <c r="D190">
        <v>576</v>
      </c>
      <c r="E190">
        <v>0</v>
      </c>
      <c r="F190">
        <v>1229760.5659999999</v>
      </c>
      <c r="G190">
        <f t="shared" si="2"/>
        <v>4227968.6989930384</v>
      </c>
    </row>
    <row r="191" spans="1:7" x14ac:dyDescent="0.25">
      <c r="A191" t="s">
        <v>36</v>
      </c>
      <c r="B191" t="s">
        <v>18</v>
      </c>
      <c r="C191">
        <v>25709422.590559058</v>
      </c>
      <c r="D191">
        <v>4984</v>
      </c>
      <c r="E191">
        <v>0</v>
      </c>
      <c r="F191">
        <v>10640844.879999997</v>
      </c>
      <c r="G191">
        <f t="shared" si="2"/>
        <v>36350267.470559053</v>
      </c>
    </row>
    <row r="192" spans="1:7" x14ac:dyDescent="0.25">
      <c r="A192" t="s">
        <v>36</v>
      </c>
      <c r="B192" t="s">
        <v>19</v>
      </c>
      <c r="C192">
        <v>5835402.3410205413</v>
      </c>
      <c r="D192">
        <v>976</v>
      </c>
      <c r="E192">
        <v>0</v>
      </c>
      <c r="F192">
        <v>2083760.9569999997</v>
      </c>
      <c r="G192">
        <f t="shared" si="2"/>
        <v>7919163.2980205407</v>
      </c>
    </row>
    <row r="193" spans="1:8" x14ac:dyDescent="0.25">
      <c r="A193" t="s">
        <v>36</v>
      </c>
      <c r="B193" t="s">
        <v>20</v>
      </c>
      <c r="C193">
        <v>8130998.6307629813</v>
      </c>
      <c r="D193">
        <v>1372</v>
      </c>
      <c r="E193">
        <v>0</v>
      </c>
      <c r="F193">
        <v>2929221.3429999999</v>
      </c>
      <c r="G193">
        <f t="shared" si="2"/>
        <v>11060219.973762982</v>
      </c>
    </row>
    <row r="194" spans="1:8" x14ac:dyDescent="0.25">
      <c r="A194" t="s">
        <v>36</v>
      </c>
      <c r="B194" t="s">
        <v>21</v>
      </c>
      <c r="C194">
        <v>5612614.0513376687</v>
      </c>
      <c r="D194">
        <v>1041</v>
      </c>
      <c r="E194">
        <v>0</v>
      </c>
      <c r="F194">
        <v>2222536.0219999999</v>
      </c>
      <c r="G194">
        <f t="shared" si="2"/>
        <v>7835150.0733376686</v>
      </c>
    </row>
    <row r="195" spans="1:8" x14ac:dyDescent="0.25">
      <c r="A195" t="s">
        <v>36</v>
      </c>
      <c r="B195" t="s">
        <v>22</v>
      </c>
      <c r="C195">
        <v>5195254.8474394623</v>
      </c>
      <c r="D195">
        <v>932</v>
      </c>
      <c r="E195">
        <v>0</v>
      </c>
      <c r="F195">
        <v>1989820.9169999994</v>
      </c>
      <c r="G195">
        <f t="shared" ref="G195:G258" si="3">+F195+C195</f>
        <v>7185075.7644394618</v>
      </c>
    </row>
    <row r="196" spans="1:8" x14ac:dyDescent="0.25">
      <c r="A196" t="s">
        <v>36</v>
      </c>
      <c r="B196" t="s">
        <v>23</v>
      </c>
      <c r="C196">
        <v>2796021.8088904484</v>
      </c>
      <c r="D196">
        <v>447</v>
      </c>
      <c r="E196">
        <v>0</v>
      </c>
      <c r="F196">
        <v>954345.44099999976</v>
      </c>
      <c r="G196">
        <f t="shared" si="3"/>
        <v>3750367.2498904481</v>
      </c>
    </row>
    <row r="197" spans="1:8" x14ac:dyDescent="0.25">
      <c r="A197" t="s">
        <v>36</v>
      </c>
      <c r="B197" t="s">
        <v>42</v>
      </c>
      <c r="C197">
        <v>0</v>
      </c>
      <c r="D197">
        <v>0</v>
      </c>
      <c r="E197">
        <v>0</v>
      </c>
      <c r="F197">
        <v>0</v>
      </c>
      <c r="G197">
        <f t="shared" si="3"/>
        <v>0</v>
      </c>
    </row>
    <row r="198" spans="1:8" s="1" customFormat="1" x14ac:dyDescent="0.25">
      <c r="A198" s="1" t="s">
        <v>38</v>
      </c>
      <c r="B198" s="1" t="s">
        <v>0</v>
      </c>
      <c r="C198" s="1">
        <v>31811979.599126533</v>
      </c>
      <c r="D198" s="1">
        <v>12546</v>
      </c>
      <c r="E198" s="1">
        <v>0</v>
      </c>
      <c r="F198" s="1">
        <v>10703223.929999998</v>
      </c>
      <c r="G198">
        <f t="shared" si="3"/>
        <v>42515203.529126532</v>
      </c>
      <c r="H198"/>
    </row>
    <row r="199" spans="1:8" x14ac:dyDescent="0.25">
      <c r="A199" t="s">
        <v>38</v>
      </c>
      <c r="B199" t="s">
        <v>1</v>
      </c>
      <c r="C199">
        <v>23561292.609923333</v>
      </c>
      <c r="D199">
        <v>9578</v>
      </c>
      <c r="E199">
        <v>0</v>
      </c>
      <c r="F199">
        <v>8171168.4070000006</v>
      </c>
      <c r="G199">
        <f t="shared" si="3"/>
        <v>31732461.016923334</v>
      </c>
    </row>
    <row r="200" spans="1:8" x14ac:dyDescent="0.25">
      <c r="A200" t="s">
        <v>38</v>
      </c>
      <c r="B200" t="s">
        <v>2</v>
      </c>
      <c r="C200">
        <v>15210168.558096388</v>
      </c>
      <c r="D200">
        <v>6080</v>
      </c>
      <c r="E200">
        <v>0</v>
      </c>
      <c r="F200">
        <v>5186960.1069999998</v>
      </c>
      <c r="G200">
        <f t="shared" si="3"/>
        <v>20397128.665096387</v>
      </c>
    </row>
    <row r="201" spans="1:8" x14ac:dyDescent="0.25">
      <c r="A201" t="s">
        <v>38</v>
      </c>
      <c r="B201" t="s">
        <v>3</v>
      </c>
      <c r="C201">
        <v>13135419.93847958</v>
      </c>
      <c r="D201">
        <v>5496</v>
      </c>
      <c r="E201">
        <v>0</v>
      </c>
      <c r="F201">
        <v>4688738.9390000012</v>
      </c>
      <c r="G201">
        <f t="shared" si="3"/>
        <v>17824158.877479583</v>
      </c>
    </row>
    <row r="202" spans="1:8" x14ac:dyDescent="0.25">
      <c r="A202" t="s">
        <v>38</v>
      </c>
      <c r="B202" t="s">
        <v>4</v>
      </c>
      <c r="C202">
        <v>46261144.823543251</v>
      </c>
      <c r="D202">
        <v>19767</v>
      </c>
      <c r="E202">
        <v>0</v>
      </c>
      <c r="F202">
        <v>16863592.180999998</v>
      </c>
      <c r="G202">
        <f t="shared" si="3"/>
        <v>63124737.004543245</v>
      </c>
    </row>
    <row r="203" spans="1:8" x14ac:dyDescent="0.25">
      <c r="A203" t="s">
        <v>38</v>
      </c>
      <c r="B203" t="s">
        <v>5</v>
      </c>
      <c r="C203">
        <v>45420693.039893813</v>
      </c>
      <c r="D203">
        <v>19078</v>
      </c>
      <c r="E203">
        <v>0</v>
      </c>
      <c r="F203">
        <v>16275793.575999999</v>
      </c>
      <c r="G203">
        <f t="shared" si="3"/>
        <v>61696486.615893811</v>
      </c>
    </row>
    <row r="204" spans="1:8" x14ac:dyDescent="0.25">
      <c r="A204" t="s">
        <v>38</v>
      </c>
      <c r="B204" t="s">
        <v>6</v>
      </c>
      <c r="C204">
        <v>21647369.339463517</v>
      </c>
      <c r="D204">
        <v>8988</v>
      </c>
      <c r="E204">
        <v>0</v>
      </c>
      <c r="F204">
        <v>7667828.5290000038</v>
      </c>
      <c r="G204">
        <f t="shared" si="3"/>
        <v>29315197.86846352</v>
      </c>
    </row>
    <row r="205" spans="1:8" x14ac:dyDescent="0.25">
      <c r="A205" t="s">
        <v>38</v>
      </c>
      <c r="B205" t="s">
        <v>7</v>
      </c>
      <c r="C205">
        <v>33214223.131164722</v>
      </c>
      <c r="D205">
        <v>15924</v>
      </c>
      <c r="E205">
        <v>0</v>
      </c>
      <c r="F205">
        <v>13585058.018999998</v>
      </c>
      <c r="G205">
        <f t="shared" si="3"/>
        <v>46799281.150164723</v>
      </c>
    </row>
    <row r="206" spans="1:8" x14ac:dyDescent="0.25">
      <c r="A206" t="s">
        <v>38</v>
      </c>
      <c r="B206" t="s">
        <v>8</v>
      </c>
      <c r="C206">
        <v>30769.734696577922</v>
      </c>
      <c r="D206">
        <v>14</v>
      </c>
      <c r="E206">
        <v>0</v>
      </c>
      <c r="F206">
        <v>11943.657000000003</v>
      </c>
      <c r="G206">
        <f t="shared" si="3"/>
        <v>42713.391696577921</v>
      </c>
    </row>
    <row r="207" spans="1:8" x14ac:dyDescent="0.25">
      <c r="A207" t="s">
        <v>38</v>
      </c>
      <c r="B207" t="s">
        <v>9</v>
      </c>
      <c r="C207">
        <v>120211726.4714438</v>
      </c>
      <c r="D207">
        <v>49238</v>
      </c>
      <c r="E207">
        <v>0</v>
      </c>
      <c r="F207">
        <v>42005845.688999988</v>
      </c>
      <c r="G207">
        <f t="shared" si="3"/>
        <v>162217572.16044378</v>
      </c>
    </row>
    <row r="208" spans="1:8" x14ac:dyDescent="0.25">
      <c r="A208" t="s">
        <v>38</v>
      </c>
      <c r="B208" t="s">
        <v>10</v>
      </c>
      <c r="C208">
        <v>34956354.113669321</v>
      </c>
      <c r="D208">
        <v>15278</v>
      </c>
      <c r="E208">
        <v>0</v>
      </c>
      <c r="F208">
        <v>13033943.509</v>
      </c>
      <c r="G208">
        <f t="shared" si="3"/>
        <v>47990297.622669324</v>
      </c>
    </row>
    <row r="209" spans="1:8" x14ac:dyDescent="0.25">
      <c r="A209" t="s">
        <v>38</v>
      </c>
      <c r="B209" t="s">
        <v>11</v>
      </c>
      <c r="C209">
        <v>35032787.638450056</v>
      </c>
      <c r="D209">
        <v>13873</v>
      </c>
      <c r="E209">
        <v>0</v>
      </c>
      <c r="F209">
        <v>11835312.101000004</v>
      </c>
      <c r="G209">
        <f t="shared" si="3"/>
        <v>46868099.73945006</v>
      </c>
    </row>
    <row r="210" spans="1:8" x14ac:dyDescent="0.25">
      <c r="A210" t="s">
        <v>38</v>
      </c>
      <c r="B210" t="s">
        <v>12</v>
      </c>
      <c r="C210">
        <v>52363419.268269897</v>
      </c>
      <c r="D210">
        <v>20527</v>
      </c>
      <c r="E210">
        <v>0</v>
      </c>
      <c r="F210">
        <v>17511962.193</v>
      </c>
      <c r="G210">
        <f t="shared" si="3"/>
        <v>69875381.4612699</v>
      </c>
    </row>
    <row r="211" spans="1:8" x14ac:dyDescent="0.25">
      <c r="A211" t="s">
        <v>38</v>
      </c>
      <c r="B211" t="s">
        <v>13</v>
      </c>
      <c r="C211">
        <v>87848439.37589325</v>
      </c>
      <c r="D211">
        <v>35853</v>
      </c>
      <c r="E211">
        <v>0</v>
      </c>
      <c r="F211">
        <v>30586855.380999994</v>
      </c>
      <c r="G211">
        <f t="shared" si="3"/>
        <v>118435294.75689325</v>
      </c>
    </row>
    <row r="212" spans="1:8" x14ac:dyDescent="0.25">
      <c r="A212" t="s">
        <v>38</v>
      </c>
      <c r="B212" t="s">
        <v>14</v>
      </c>
      <c r="C212">
        <v>10645383.805744391</v>
      </c>
      <c r="D212">
        <v>4341</v>
      </c>
      <c r="E212">
        <v>0</v>
      </c>
      <c r="F212">
        <v>3703387.1459999997</v>
      </c>
      <c r="G212">
        <f t="shared" si="3"/>
        <v>14348770.951744391</v>
      </c>
    </row>
    <row r="213" spans="1:8" x14ac:dyDescent="0.25">
      <c r="A213" t="s">
        <v>38</v>
      </c>
      <c r="B213" t="s">
        <v>15</v>
      </c>
      <c r="C213">
        <v>7113638.5836385209</v>
      </c>
      <c r="D213">
        <v>2839</v>
      </c>
      <c r="E213">
        <v>0</v>
      </c>
      <c r="F213">
        <v>2422003.2460000003</v>
      </c>
      <c r="G213">
        <f t="shared" si="3"/>
        <v>9535641.8296385221</v>
      </c>
    </row>
    <row r="214" spans="1:8" x14ac:dyDescent="0.25">
      <c r="A214" t="s">
        <v>38</v>
      </c>
      <c r="B214" t="s">
        <v>16</v>
      </c>
      <c r="C214">
        <v>7297834.5192762055</v>
      </c>
      <c r="D214">
        <v>3032</v>
      </c>
      <c r="E214">
        <v>0</v>
      </c>
      <c r="F214">
        <v>2586655.105</v>
      </c>
      <c r="G214">
        <f t="shared" si="3"/>
        <v>9884489.6242762059</v>
      </c>
    </row>
    <row r="215" spans="1:8" x14ac:dyDescent="0.25">
      <c r="A215" t="s">
        <v>38</v>
      </c>
      <c r="B215" t="s">
        <v>17</v>
      </c>
      <c r="C215">
        <v>4897306.9410519581</v>
      </c>
      <c r="D215">
        <v>2041</v>
      </c>
      <c r="E215">
        <v>0</v>
      </c>
      <c r="F215">
        <v>1741214.7319999998</v>
      </c>
      <c r="G215">
        <f t="shared" si="3"/>
        <v>6638521.673051958</v>
      </c>
    </row>
    <row r="216" spans="1:8" x14ac:dyDescent="0.25">
      <c r="A216" t="s">
        <v>38</v>
      </c>
      <c r="B216" t="s">
        <v>18</v>
      </c>
      <c r="C216">
        <v>49748322.645144925</v>
      </c>
      <c r="D216">
        <v>22443</v>
      </c>
      <c r="E216">
        <v>0</v>
      </c>
      <c r="F216">
        <v>19146537.120999996</v>
      </c>
      <c r="G216">
        <f t="shared" si="3"/>
        <v>68894859.766144916</v>
      </c>
    </row>
    <row r="217" spans="1:8" x14ac:dyDescent="0.25">
      <c r="A217" t="s">
        <v>38</v>
      </c>
      <c r="B217" t="s">
        <v>19</v>
      </c>
      <c r="C217">
        <v>17290131.833197273</v>
      </c>
      <c r="D217">
        <v>7061</v>
      </c>
      <c r="E217">
        <v>0</v>
      </c>
      <c r="F217">
        <v>6023869.2970000003</v>
      </c>
      <c r="G217">
        <f t="shared" si="3"/>
        <v>23314001.130197272</v>
      </c>
    </row>
    <row r="218" spans="1:8" x14ac:dyDescent="0.25">
      <c r="A218" t="s">
        <v>38</v>
      </c>
      <c r="B218" t="s">
        <v>20</v>
      </c>
      <c r="C218">
        <v>18400476.505106352</v>
      </c>
      <c r="D218">
        <v>7379</v>
      </c>
      <c r="E218">
        <v>0</v>
      </c>
      <c r="F218">
        <v>6295160.9579999996</v>
      </c>
      <c r="G218">
        <f t="shared" si="3"/>
        <v>24695637.463106353</v>
      </c>
    </row>
    <row r="219" spans="1:8" x14ac:dyDescent="0.25">
      <c r="A219" t="s">
        <v>38</v>
      </c>
      <c r="B219" t="s">
        <v>21</v>
      </c>
      <c r="C219">
        <v>9413241.6616429128</v>
      </c>
      <c r="D219">
        <v>4088</v>
      </c>
      <c r="E219">
        <v>0</v>
      </c>
      <c r="F219">
        <v>3487548.1769999997</v>
      </c>
      <c r="G219">
        <f t="shared" si="3"/>
        <v>12900789.838642912</v>
      </c>
    </row>
    <row r="220" spans="1:8" x14ac:dyDescent="0.25">
      <c r="A220" t="s">
        <v>38</v>
      </c>
      <c r="B220" t="s">
        <v>22</v>
      </c>
      <c r="C220">
        <v>37746717.608677104</v>
      </c>
      <c r="D220">
        <v>15919</v>
      </c>
      <c r="E220">
        <v>0</v>
      </c>
      <c r="F220">
        <v>13580792.421999998</v>
      </c>
      <c r="G220">
        <f t="shared" si="3"/>
        <v>51327510.030677103</v>
      </c>
    </row>
    <row r="221" spans="1:8" x14ac:dyDescent="0.25">
      <c r="A221" t="s">
        <v>38</v>
      </c>
      <c r="B221" t="s">
        <v>23</v>
      </c>
      <c r="C221">
        <v>6019357.792298682</v>
      </c>
      <c r="D221">
        <v>2357</v>
      </c>
      <c r="E221">
        <v>0</v>
      </c>
      <c r="F221">
        <v>2010800.1609999998</v>
      </c>
      <c r="G221">
        <f t="shared" si="3"/>
        <v>8030157.9532986823</v>
      </c>
    </row>
    <row r="222" spans="1:8" x14ac:dyDescent="0.25">
      <c r="A222" t="s">
        <v>38</v>
      </c>
      <c r="B222" t="s">
        <v>42</v>
      </c>
      <c r="C222">
        <v>34047.255107645615</v>
      </c>
      <c r="D222">
        <v>105</v>
      </c>
      <c r="E222">
        <v>0</v>
      </c>
      <c r="F222">
        <v>89577.436000000002</v>
      </c>
      <c r="G222">
        <f t="shared" si="3"/>
        <v>123624.69110764562</v>
      </c>
    </row>
    <row r="223" spans="1:8" s="1" customFormat="1" x14ac:dyDescent="0.25">
      <c r="A223" s="1" t="s">
        <v>41</v>
      </c>
      <c r="B223" s="1" t="s">
        <v>0</v>
      </c>
      <c r="C223" s="1">
        <v>8796856.513865741</v>
      </c>
      <c r="D223" s="1">
        <v>3362</v>
      </c>
      <c r="E223" s="1">
        <v>0</v>
      </c>
      <c r="F223" s="1">
        <v>2963211.3069999986</v>
      </c>
      <c r="G223">
        <f t="shared" si="3"/>
        <v>11760067.820865739</v>
      </c>
      <c r="H223"/>
    </row>
    <row r="224" spans="1:8" x14ac:dyDescent="0.25">
      <c r="A224" t="s">
        <v>41</v>
      </c>
      <c r="B224" t="s">
        <v>1</v>
      </c>
      <c r="C224">
        <v>4598235.5324319899</v>
      </c>
      <c r="D224">
        <v>1792</v>
      </c>
      <c r="E224">
        <v>0</v>
      </c>
      <c r="F224">
        <v>1579439.226</v>
      </c>
      <c r="G224">
        <f t="shared" si="3"/>
        <v>6177674.7584319897</v>
      </c>
    </row>
    <row r="225" spans="1:7" x14ac:dyDescent="0.25">
      <c r="A225" t="s">
        <v>41</v>
      </c>
      <c r="B225" t="s">
        <v>2</v>
      </c>
      <c r="C225">
        <v>3773555.5862946417</v>
      </c>
      <c r="D225">
        <v>1439</v>
      </c>
      <c r="E225">
        <v>0</v>
      </c>
      <c r="F225">
        <v>1268310.8480000002</v>
      </c>
      <c r="G225">
        <f t="shared" si="3"/>
        <v>5041866.4342946419</v>
      </c>
    </row>
    <row r="226" spans="1:7" x14ac:dyDescent="0.25">
      <c r="A226" t="s">
        <v>41</v>
      </c>
      <c r="B226" t="s">
        <v>3</v>
      </c>
      <c r="C226">
        <v>2127384.4679913819</v>
      </c>
      <c r="D226">
        <v>859</v>
      </c>
      <c r="E226">
        <v>0</v>
      </c>
      <c r="F226">
        <v>757108.42</v>
      </c>
      <c r="G226">
        <f t="shared" si="3"/>
        <v>2884492.8879913818</v>
      </c>
    </row>
    <row r="227" spans="1:7" x14ac:dyDescent="0.25">
      <c r="A227" t="s">
        <v>41</v>
      </c>
      <c r="B227" t="s">
        <v>4</v>
      </c>
      <c r="C227">
        <v>6359441.7859563399</v>
      </c>
      <c r="D227">
        <v>2441</v>
      </c>
      <c r="E227">
        <v>0</v>
      </c>
      <c r="F227">
        <v>2151457.111</v>
      </c>
      <c r="G227">
        <f t="shared" si="3"/>
        <v>8510898.8969563395</v>
      </c>
    </row>
    <row r="228" spans="1:7" x14ac:dyDescent="0.25">
      <c r="A228" t="s">
        <v>41</v>
      </c>
      <c r="B228" t="s">
        <v>5</v>
      </c>
      <c r="C228">
        <v>6580658.2506996403</v>
      </c>
      <c r="D228">
        <v>2546</v>
      </c>
      <c r="E228">
        <v>0</v>
      </c>
      <c r="F228">
        <v>2244002.3800000004</v>
      </c>
      <c r="G228">
        <f t="shared" si="3"/>
        <v>8824660.6306996401</v>
      </c>
    </row>
    <row r="229" spans="1:7" x14ac:dyDescent="0.25">
      <c r="A229" t="s">
        <v>41</v>
      </c>
      <c r="B229" t="s">
        <v>6</v>
      </c>
      <c r="C229">
        <v>6266019.168667553</v>
      </c>
      <c r="D229">
        <v>2363</v>
      </c>
      <c r="E229">
        <v>0</v>
      </c>
      <c r="F229">
        <v>2082709.193999999</v>
      </c>
      <c r="G229">
        <f t="shared" si="3"/>
        <v>8348728.3626675522</v>
      </c>
    </row>
    <row r="230" spans="1:7" x14ac:dyDescent="0.25">
      <c r="A230" t="s">
        <v>41</v>
      </c>
      <c r="B230" t="s">
        <v>7</v>
      </c>
      <c r="C230">
        <v>9928307.6427463926</v>
      </c>
      <c r="D230">
        <v>4417</v>
      </c>
      <c r="E230">
        <v>0</v>
      </c>
      <c r="F230">
        <v>3893070.9019999984</v>
      </c>
      <c r="G230">
        <f t="shared" si="3"/>
        <v>13821378.544746391</v>
      </c>
    </row>
    <row r="231" spans="1:7" x14ac:dyDescent="0.25">
      <c r="A231" t="s">
        <v>41</v>
      </c>
      <c r="B231" t="s">
        <v>8</v>
      </c>
      <c r="C231">
        <v>14154.595693406325</v>
      </c>
      <c r="D231">
        <v>8</v>
      </c>
      <c r="E231">
        <v>0</v>
      </c>
      <c r="F231">
        <v>7051.067</v>
      </c>
      <c r="G231">
        <f t="shared" si="3"/>
        <v>21205.662693406324</v>
      </c>
    </row>
    <row r="232" spans="1:7" x14ac:dyDescent="0.25">
      <c r="A232" t="s">
        <v>41</v>
      </c>
      <c r="B232" t="s">
        <v>9</v>
      </c>
      <c r="C232">
        <v>35738878.825443596</v>
      </c>
      <c r="D232">
        <v>13876</v>
      </c>
      <c r="E232">
        <v>0</v>
      </c>
      <c r="F232">
        <v>12230077.424000001</v>
      </c>
      <c r="G232">
        <f t="shared" si="3"/>
        <v>47968956.249443598</v>
      </c>
    </row>
    <row r="233" spans="1:7" x14ac:dyDescent="0.25">
      <c r="A233" t="s">
        <v>41</v>
      </c>
      <c r="B233" t="s">
        <v>10</v>
      </c>
      <c r="C233">
        <v>5925541.8067708621</v>
      </c>
      <c r="D233">
        <v>2382</v>
      </c>
      <c r="E233">
        <v>0</v>
      </c>
      <c r="F233">
        <v>2099455.4899999998</v>
      </c>
      <c r="G233">
        <f t="shared" si="3"/>
        <v>8024997.2967708614</v>
      </c>
    </row>
    <row r="234" spans="1:7" x14ac:dyDescent="0.25">
      <c r="A234" t="s">
        <v>41</v>
      </c>
      <c r="B234" t="s">
        <v>11</v>
      </c>
      <c r="C234">
        <v>8128446.0832934538</v>
      </c>
      <c r="D234">
        <v>3163</v>
      </c>
      <c r="E234">
        <v>0</v>
      </c>
      <c r="F234">
        <v>2787815.9859999968</v>
      </c>
      <c r="G234">
        <f t="shared" si="3"/>
        <v>10916262.069293451</v>
      </c>
    </row>
    <row r="235" spans="1:7" x14ac:dyDescent="0.25">
      <c r="A235" t="s">
        <v>41</v>
      </c>
      <c r="B235" t="s">
        <v>12</v>
      </c>
      <c r="C235">
        <v>11211945.552110303</v>
      </c>
      <c r="D235">
        <v>4321</v>
      </c>
      <c r="E235">
        <v>0</v>
      </c>
      <c r="F235">
        <v>3808458.094000001</v>
      </c>
      <c r="G235">
        <f t="shared" si="3"/>
        <v>15020403.646110304</v>
      </c>
    </row>
    <row r="236" spans="1:7" x14ac:dyDescent="0.25">
      <c r="A236" t="s">
        <v>41</v>
      </c>
      <c r="B236" t="s">
        <v>13</v>
      </c>
      <c r="C236">
        <v>24187951.629455976</v>
      </c>
      <c r="D236">
        <v>9805</v>
      </c>
      <c r="E236">
        <v>0</v>
      </c>
      <c r="F236">
        <v>8641965.1929999981</v>
      </c>
      <c r="G236">
        <f t="shared" si="3"/>
        <v>32829916.822455972</v>
      </c>
    </row>
    <row r="237" spans="1:7" x14ac:dyDescent="0.25">
      <c r="A237" t="s">
        <v>41</v>
      </c>
      <c r="B237" t="s">
        <v>14</v>
      </c>
      <c r="C237">
        <v>4244292.7212447496</v>
      </c>
      <c r="D237">
        <v>1554</v>
      </c>
      <c r="E237">
        <v>0</v>
      </c>
      <c r="F237">
        <v>1369669.9439999999</v>
      </c>
      <c r="G237">
        <f t="shared" si="3"/>
        <v>5613962.6652447497</v>
      </c>
    </row>
    <row r="238" spans="1:7" x14ac:dyDescent="0.25">
      <c r="A238" t="s">
        <v>41</v>
      </c>
      <c r="B238" t="s">
        <v>15</v>
      </c>
      <c r="C238">
        <v>2986896.3502285159</v>
      </c>
      <c r="D238">
        <v>1192</v>
      </c>
      <c r="E238">
        <v>0</v>
      </c>
      <c r="F238">
        <v>1050609.1269999999</v>
      </c>
      <c r="G238">
        <f t="shared" si="3"/>
        <v>4037505.4772285158</v>
      </c>
    </row>
    <row r="239" spans="1:7" x14ac:dyDescent="0.25">
      <c r="A239" t="s">
        <v>41</v>
      </c>
      <c r="B239" t="s">
        <v>16</v>
      </c>
      <c r="C239">
        <v>3198404.8116581752</v>
      </c>
      <c r="D239">
        <v>1209</v>
      </c>
      <c r="E239">
        <v>0</v>
      </c>
      <c r="F239">
        <v>1065592.6410000001</v>
      </c>
      <c r="G239">
        <f t="shared" si="3"/>
        <v>4263997.4526581755</v>
      </c>
    </row>
    <row r="240" spans="1:7" x14ac:dyDescent="0.25">
      <c r="A240" t="s">
        <v>41</v>
      </c>
      <c r="B240" t="s">
        <v>17</v>
      </c>
      <c r="C240">
        <v>1617383.4995010705</v>
      </c>
      <c r="D240">
        <v>676</v>
      </c>
      <c r="E240">
        <v>0</v>
      </c>
      <c r="F240">
        <v>595815.2429999999</v>
      </c>
      <c r="G240">
        <f t="shared" si="3"/>
        <v>2213198.7425010703</v>
      </c>
    </row>
    <row r="241" spans="1:8" x14ac:dyDescent="0.25">
      <c r="A241" t="s">
        <v>41</v>
      </c>
      <c r="B241" t="s">
        <v>18</v>
      </c>
      <c r="C241">
        <v>15233006.513788046</v>
      </c>
      <c r="D241">
        <v>6418</v>
      </c>
      <c r="E241">
        <v>0</v>
      </c>
      <c r="F241">
        <v>5656719.2870000005</v>
      </c>
      <c r="G241">
        <f t="shared" si="3"/>
        <v>20889725.800788045</v>
      </c>
    </row>
    <row r="242" spans="1:8" x14ac:dyDescent="0.25">
      <c r="A242" t="s">
        <v>41</v>
      </c>
      <c r="B242" t="s">
        <v>19</v>
      </c>
      <c r="C242">
        <v>6461873.7343110666</v>
      </c>
      <c r="D242">
        <v>2533</v>
      </c>
      <c r="E242">
        <v>0</v>
      </c>
      <c r="F242">
        <v>2232544.4040000001</v>
      </c>
      <c r="G242">
        <f t="shared" si="3"/>
        <v>8694418.1383110657</v>
      </c>
    </row>
    <row r="243" spans="1:8" x14ac:dyDescent="0.25">
      <c r="A243" t="s">
        <v>41</v>
      </c>
      <c r="B243" t="s">
        <v>20</v>
      </c>
      <c r="C243">
        <v>5832060.866934821</v>
      </c>
      <c r="D243">
        <v>2313</v>
      </c>
      <c r="E243">
        <v>0</v>
      </c>
      <c r="F243">
        <v>2038640.0310000002</v>
      </c>
      <c r="G243">
        <f t="shared" si="3"/>
        <v>7870700.8979348214</v>
      </c>
    </row>
    <row r="244" spans="1:8" x14ac:dyDescent="0.25">
      <c r="A244" t="s">
        <v>41</v>
      </c>
      <c r="B244" t="s">
        <v>21</v>
      </c>
      <c r="C244">
        <v>3485151.2998008071</v>
      </c>
      <c r="D244">
        <v>1362</v>
      </c>
      <c r="E244">
        <v>0</v>
      </c>
      <c r="F244">
        <v>1200444.3169999998</v>
      </c>
      <c r="G244">
        <f t="shared" si="3"/>
        <v>4685595.6168008074</v>
      </c>
    </row>
    <row r="245" spans="1:8" x14ac:dyDescent="0.25">
      <c r="A245" t="s">
        <v>41</v>
      </c>
      <c r="B245" t="s">
        <v>22</v>
      </c>
      <c r="C245">
        <v>4799002.0898634102</v>
      </c>
      <c r="D245">
        <v>1840</v>
      </c>
      <c r="E245">
        <v>0</v>
      </c>
      <c r="F245">
        <v>1621745.6250000002</v>
      </c>
      <c r="G245">
        <f t="shared" si="3"/>
        <v>6420747.7148634102</v>
      </c>
    </row>
    <row r="246" spans="1:8" x14ac:dyDescent="0.25">
      <c r="A246" t="s">
        <v>41</v>
      </c>
      <c r="B246" t="s">
        <v>23</v>
      </c>
      <c r="C246">
        <v>2106809.0101214941</v>
      </c>
      <c r="D246">
        <v>818</v>
      </c>
      <c r="E246">
        <v>0</v>
      </c>
      <c r="F246">
        <v>720971.69399999978</v>
      </c>
      <c r="G246">
        <f t="shared" si="3"/>
        <v>2827780.7041214937</v>
      </c>
    </row>
    <row r="247" spans="1:8" x14ac:dyDescent="0.25">
      <c r="A247" t="s">
        <v>41</v>
      </c>
      <c r="B247" t="s">
        <v>42</v>
      </c>
      <c r="C247">
        <v>8219.6511265887948</v>
      </c>
      <c r="D247">
        <v>11</v>
      </c>
      <c r="E247">
        <v>0</v>
      </c>
      <c r="F247">
        <v>9695.2180000000008</v>
      </c>
      <c r="G247">
        <f t="shared" si="3"/>
        <v>17914.869126588797</v>
      </c>
    </row>
    <row r="248" spans="1:8" s="1" customFormat="1" x14ac:dyDescent="0.25">
      <c r="A248" s="1" t="s">
        <v>39</v>
      </c>
      <c r="B248" s="1" t="s">
        <v>0</v>
      </c>
      <c r="C248" s="1">
        <v>12583.291733439111</v>
      </c>
      <c r="D248" s="1">
        <v>0</v>
      </c>
      <c r="E248" s="1">
        <v>0</v>
      </c>
      <c r="F248" s="1">
        <v>0</v>
      </c>
      <c r="G248">
        <f t="shared" si="3"/>
        <v>12583.291733439111</v>
      </c>
      <c r="H248"/>
    </row>
    <row r="249" spans="1:8" x14ac:dyDescent="0.25">
      <c r="A249" t="s">
        <v>39</v>
      </c>
      <c r="B249" t="s">
        <v>1</v>
      </c>
      <c r="C249">
        <v>1562.3550138833796</v>
      </c>
      <c r="D249">
        <v>0</v>
      </c>
      <c r="E249">
        <v>0</v>
      </c>
      <c r="F249">
        <v>0</v>
      </c>
      <c r="G249">
        <f t="shared" si="3"/>
        <v>1562.3550138833796</v>
      </c>
    </row>
    <row r="250" spans="1:8" x14ac:dyDescent="0.25">
      <c r="A250" t="s">
        <v>39</v>
      </c>
      <c r="B250" t="s">
        <v>2</v>
      </c>
      <c r="C250">
        <v>3124.7100277667591</v>
      </c>
      <c r="D250">
        <v>0</v>
      </c>
      <c r="E250">
        <v>0</v>
      </c>
      <c r="F250">
        <v>0</v>
      </c>
      <c r="G250">
        <f t="shared" si="3"/>
        <v>3124.7100277667591</v>
      </c>
    </row>
    <row r="251" spans="1:8" x14ac:dyDescent="0.25">
      <c r="A251" t="s">
        <v>39</v>
      </c>
      <c r="B251" t="s">
        <v>3</v>
      </c>
      <c r="C251">
        <v>2195.7421816739388</v>
      </c>
      <c r="D251">
        <v>0</v>
      </c>
      <c r="E251">
        <v>0</v>
      </c>
      <c r="F251">
        <v>0</v>
      </c>
      <c r="G251">
        <f t="shared" si="3"/>
        <v>2195.7421816739388</v>
      </c>
    </row>
    <row r="252" spans="1:8" x14ac:dyDescent="0.25">
      <c r="A252" t="s">
        <v>39</v>
      </c>
      <c r="B252" t="s">
        <v>4</v>
      </c>
      <c r="C252">
        <v>2913.5809718365731</v>
      </c>
      <c r="D252">
        <v>0</v>
      </c>
      <c r="E252">
        <v>0</v>
      </c>
      <c r="F252">
        <v>0</v>
      </c>
      <c r="G252">
        <f t="shared" si="3"/>
        <v>2913.5809718365731</v>
      </c>
    </row>
    <row r="253" spans="1:8" x14ac:dyDescent="0.25">
      <c r="A253" t="s">
        <v>39</v>
      </c>
      <c r="B253" t="s">
        <v>5</v>
      </c>
      <c r="C253">
        <v>2660.2261047203492</v>
      </c>
      <c r="D253">
        <v>0</v>
      </c>
      <c r="E253">
        <v>0</v>
      </c>
      <c r="F253">
        <v>0</v>
      </c>
      <c r="G253">
        <f t="shared" si="3"/>
        <v>2660.2261047203492</v>
      </c>
    </row>
    <row r="254" spans="1:8" x14ac:dyDescent="0.25">
      <c r="A254" t="s">
        <v>39</v>
      </c>
      <c r="B254" t="s">
        <v>6</v>
      </c>
      <c r="C254">
        <v>13343.356334787784</v>
      </c>
      <c r="D254">
        <v>0</v>
      </c>
      <c r="E254">
        <v>0</v>
      </c>
      <c r="F254">
        <v>0</v>
      </c>
      <c r="G254">
        <f t="shared" si="3"/>
        <v>13343.356334787784</v>
      </c>
    </row>
    <row r="255" spans="1:8" x14ac:dyDescent="0.25">
      <c r="A255" t="s">
        <v>39</v>
      </c>
      <c r="B255" t="s">
        <v>7</v>
      </c>
      <c r="C255">
        <v>5616.0328877429592</v>
      </c>
      <c r="D255">
        <v>0</v>
      </c>
      <c r="E255">
        <v>0</v>
      </c>
      <c r="F255">
        <v>0</v>
      </c>
      <c r="G255">
        <f t="shared" si="3"/>
        <v>5616.0328877429592</v>
      </c>
    </row>
    <row r="256" spans="1:8" x14ac:dyDescent="0.25">
      <c r="A256" t="s">
        <v>39</v>
      </c>
      <c r="B256" t="s">
        <v>8</v>
      </c>
      <c r="C256">
        <v>42.225811186037291</v>
      </c>
      <c r="D256">
        <v>0</v>
      </c>
      <c r="E256">
        <v>0</v>
      </c>
      <c r="F256">
        <v>0</v>
      </c>
      <c r="G256">
        <f t="shared" si="3"/>
        <v>42.225811186037291</v>
      </c>
    </row>
    <row r="257" spans="1:7" x14ac:dyDescent="0.25">
      <c r="A257" t="s">
        <v>39</v>
      </c>
      <c r="B257" t="s">
        <v>9</v>
      </c>
      <c r="C257">
        <v>99821.81764379215</v>
      </c>
      <c r="D257">
        <v>0</v>
      </c>
      <c r="E257">
        <v>0</v>
      </c>
      <c r="F257">
        <v>0</v>
      </c>
      <c r="G257">
        <f t="shared" si="3"/>
        <v>99821.81764379215</v>
      </c>
    </row>
    <row r="258" spans="1:7" x14ac:dyDescent="0.25">
      <c r="A258" t="s">
        <v>39</v>
      </c>
      <c r="B258" t="s">
        <v>10</v>
      </c>
      <c r="C258">
        <v>2153.5163704879014</v>
      </c>
      <c r="D258">
        <v>0</v>
      </c>
      <c r="E258">
        <v>0</v>
      </c>
      <c r="F258">
        <v>0</v>
      </c>
      <c r="G258">
        <f t="shared" si="3"/>
        <v>2153.5163704879014</v>
      </c>
    </row>
    <row r="259" spans="1:7" x14ac:dyDescent="0.25">
      <c r="A259" t="s">
        <v>39</v>
      </c>
      <c r="B259" t="s">
        <v>11</v>
      </c>
      <c r="C259">
        <v>2829.1293494644983</v>
      </c>
      <c r="D259">
        <v>0</v>
      </c>
      <c r="E259">
        <v>0</v>
      </c>
      <c r="F259">
        <v>0</v>
      </c>
      <c r="G259">
        <f t="shared" ref="G259:G297" si="4">+F259+C259</f>
        <v>2829.1293494644983</v>
      </c>
    </row>
    <row r="260" spans="1:7" x14ac:dyDescent="0.25">
      <c r="A260" t="s">
        <v>39</v>
      </c>
      <c r="B260" t="s">
        <v>12</v>
      </c>
      <c r="C260">
        <v>14399.001614438715</v>
      </c>
      <c r="D260">
        <v>0</v>
      </c>
      <c r="E260">
        <v>0</v>
      </c>
      <c r="F260">
        <v>0</v>
      </c>
      <c r="G260">
        <f t="shared" si="4"/>
        <v>14399.001614438715</v>
      </c>
    </row>
    <row r="261" spans="1:7" x14ac:dyDescent="0.25">
      <c r="A261" t="s">
        <v>39</v>
      </c>
      <c r="B261" t="s">
        <v>13</v>
      </c>
      <c r="C261">
        <v>16130.259873066245</v>
      </c>
      <c r="D261">
        <v>0</v>
      </c>
      <c r="E261">
        <v>0</v>
      </c>
      <c r="F261">
        <v>0</v>
      </c>
      <c r="G261">
        <f t="shared" si="4"/>
        <v>16130.259873066245</v>
      </c>
    </row>
    <row r="262" spans="1:7" x14ac:dyDescent="0.25">
      <c r="A262" t="s">
        <v>39</v>
      </c>
      <c r="B262" t="s">
        <v>14</v>
      </c>
      <c r="C262">
        <v>760.0646013486712</v>
      </c>
      <c r="D262">
        <v>0</v>
      </c>
      <c r="E262">
        <v>0</v>
      </c>
      <c r="F262">
        <v>0</v>
      </c>
      <c r="G262">
        <f t="shared" si="4"/>
        <v>760.0646013486712</v>
      </c>
    </row>
    <row r="263" spans="1:7" x14ac:dyDescent="0.25">
      <c r="A263" t="s">
        <v>39</v>
      </c>
      <c r="B263" t="s">
        <v>15</v>
      </c>
      <c r="C263">
        <v>337.80648948829833</v>
      </c>
      <c r="D263">
        <v>0</v>
      </c>
      <c r="E263">
        <v>0</v>
      </c>
      <c r="F263">
        <v>0</v>
      </c>
      <c r="G263">
        <f t="shared" si="4"/>
        <v>337.80648948829833</v>
      </c>
    </row>
    <row r="264" spans="1:7" x14ac:dyDescent="0.25">
      <c r="A264" t="s">
        <v>39</v>
      </c>
      <c r="B264" t="s">
        <v>16</v>
      </c>
      <c r="C264">
        <v>971.19365727885759</v>
      </c>
      <c r="D264">
        <v>0</v>
      </c>
      <c r="E264">
        <v>0</v>
      </c>
      <c r="F264">
        <v>0</v>
      </c>
      <c r="G264">
        <f t="shared" si="4"/>
        <v>971.19365727885759</v>
      </c>
    </row>
    <row r="265" spans="1:7" x14ac:dyDescent="0.25">
      <c r="A265" t="s">
        <v>39</v>
      </c>
      <c r="B265" t="s">
        <v>17</v>
      </c>
      <c r="C265">
        <v>675.61297897659665</v>
      </c>
      <c r="D265">
        <v>0</v>
      </c>
      <c r="E265">
        <v>0</v>
      </c>
      <c r="F265">
        <v>0</v>
      </c>
      <c r="G265">
        <f t="shared" si="4"/>
        <v>675.61297897659665</v>
      </c>
    </row>
    <row r="266" spans="1:7" x14ac:dyDescent="0.25">
      <c r="A266" t="s">
        <v>39</v>
      </c>
      <c r="B266" t="s">
        <v>18</v>
      </c>
      <c r="C266">
        <v>9543.0333280444265</v>
      </c>
      <c r="D266">
        <v>0</v>
      </c>
      <c r="E266">
        <v>0</v>
      </c>
      <c r="F266">
        <v>0</v>
      </c>
      <c r="G266">
        <f t="shared" si="4"/>
        <v>9543.0333280444265</v>
      </c>
    </row>
    <row r="267" spans="1:7" x14ac:dyDescent="0.25">
      <c r="A267" t="s">
        <v>39</v>
      </c>
      <c r="B267" t="s">
        <v>19</v>
      </c>
      <c r="C267">
        <v>2744.677727092424</v>
      </c>
      <c r="D267">
        <v>0</v>
      </c>
      <c r="E267">
        <v>0</v>
      </c>
      <c r="F267">
        <v>0</v>
      </c>
      <c r="G267">
        <f t="shared" si="4"/>
        <v>2744.677727092424</v>
      </c>
    </row>
    <row r="268" spans="1:7" x14ac:dyDescent="0.25">
      <c r="A268" t="s">
        <v>39</v>
      </c>
      <c r="B268" t="s">
        <v>20</v>
      </c>
      <c r="C268">
        <v>6291.6458667195557</v>
      </c>
      <c r="D268">
        <v>0</v>
      </c>
      <c r="E268">
        <v>0</v>
      </c>
      <c r="F268">
        <v>0</v>
      </c>
      <c r="G268">
        <f t="shared" si="4"/>
        <v>6291.6458667195557</v>
      </c>
    </row>
    <row r="269" spans="1:7" x14ac:dyDescent="0.25">
      <c r="A269" t="s">
        <v>39</v>
      </c>
      <c r="B269" t="s">
        <v>21</v>
      </c>
      <c r="C269">
        <v>380.0323006743356</v>
      </c>
      <c r="D269">
        <v>0</v>
      </c>
      <c r="E269">
        <v>0</v>
      </c>
      <c r="F269">
        <v>0</v>
      </c>
      <c r="G269">
        <f t="shared" si="4"/>
        <v>380.0323006743356</v>
      </c>
    </row>
    <row r="270" spans="1:7" x14ac:dyDescent="0.25">
      <c r="A270" t="s">
        <v>39</v>
      </c>
      <c r="B270" t="s">
        <v>22</v>
      </c>
      <c r="C270">
        <v>11443.194831416105</v>
      </c>
      <c r="D270">
        <v>0</v>
      </c>
      <c r="E270">
        <v>0</v>
      </c>
      <c r="F270">
        <v>0</v>
      </c>
      <c r="G270">
        <f t="shared" si="4"/>
        <v>11443.194831416105</v>
      </c>
    </row>
    <row r="271" spans="1:7" x14ac:dyDescent="0.25">
      <c r="A271" t="s">
        <v>39</v>
      </c>
      <c r="B271" t="s">
        <v>23</v>
      </c>
      <c r="C271">
        <v>337.80648948829833</v>
      </c>
      <c r="D271">
        <v>0</v>
      </c>
      <c r="E271">
        <v>0</v>
      </c>
      <c r="F271">
        <v>0</v>
      </c>
      <c r="G271">
        <f t="shared" si="4"/>
        <v>337.80648948829833</v>
      </c>
    </row>
    <row r="272" spans="1:7" x14ac:dyDescent="0.25">
      <c r="A272" t="s">
        <v>39</v>
      </c>
      <c r="B272" t="s">
        <v>42</v>
      </c>
      <c r="C272">
        <v>42.225811186037291</v>
      </c>
      <c r="D272">
        <v>0</v>
      </c>
      <c r="E272">
        <v>0</v>
      </c>
      <c r="F272">
        <v>0</v>
      </c>
      <c r="G272">
        <f t="shared" si="4"/>
        <v>42.225811186037291</v>
      </c>
    </row>
    <row r="273" spans="1:8" s="1" customFormat="1" x14ac:dyDescent="0.25">
      <c r="A273" s="1" t="s">
        <v>40</v>
      </c>
      <c r="B273" s="1" t="s">
        <v>0</v>
      </c>
      <c r="C273" s="1">
        <v>3423.0769230769233</v>
      </c>
      <c r="D273" s="1">
        <v>0</v>
      </c>
      <c r="E273" s="1">
        <v>0</v>
      </c>
      <c r="F273" s="1">
        <v>0</v>
      </c>
      <c r="G273">
        <f t="shared" si="4"/>
        <v>3423.0769230769233</v>
      </c>
      <c r="H273"/>
    </row>
    <row r="274" spans="1:8" x14ac:dyDescent="0.25">
      <c r="A274" t="s">
        <v>40</v>
      </c>
      <c r="B274" t="s">
        <v>1</v>
      </c>
      <c r="C274">
        <v>319.48717948717945</v>
      </c>
      <c r="D274">
        <v>0</v>
      </c>
      <c r="E274">
        <v>0</v>
      </c>
      <c r="F274">
        <v>0</v>
      </c>
      <c r="G274">
        <f t="shared" si="4"/>
        <v>319.48717948717945</v>
      </c>
    </row>
    <row r="275" spans="1:8" x14ac:dyDescent="0.25">
      <c r="A275" t="s">
        <v>40</v>
      </c>
      <c r="B275" t="s">
        <v>2</v>
      </c>
      <c r="C275">
        <v>775.89743589743591</v>
      </c>
      <c r="D275">
        <v>0</v>
      </c>
      <c r="E275">
        <v>0</v>
      </c>
      <c r="F275">
        <v>0</v>
      </c>
      <c r="G275">
        <f t="shared" si="4"/>
        <v>775.89743589743591</v>
      </c>
    </row>
    <row r="276" spans="1:8" x14ac:dyDescent="0.25">
      <c r="A276" t="s">
        <v>40</v>
      </c>
      <c r="B276" t="s">
        <v>3</v>
      </c>
      <c r="C276">
        <v>593.33333333333337</v>
      </c>
      <c r="D276">
        <v>0</v>
      </c>
      <c r="E276">
        <v>0</v>
      </c>
      <c r="F276">
        <v>0</v>
      </c>
      <c r="G276">
        <f t="shared" si="4"/>
        <v>593.33333333333337</v>
      </c>
    </row>
    <row r="277" spans="1:8" x14ac:dyDescent="0.25">
      <c r="A277" t="s">
        <v>40</v>
      </c>
      <c r="B277" t="s">
        <v>4</v>
      </c>
      <c r="C277">
        <v>1232.3076923076924</v>
      </c>
      <c r="D277">
        <v>0</v>
      </c>
      <c r="E277">
        <v>0</v>
      </c>
      <c r="F277">
        <v>0</v>
      </c>
      <c r="G277">
        <f t="shared" si="4"/>
        <v>1232.3076923076924</v>
      </c>
    </row>
    <row r="278" spans="1:8" x14ac:dyDescent="0.25">
      <c r="A278" t="s">
        <v>40</v>
      </c>
      <c r="B278" t="s">
        <v>5</v>
      </c>
      <c r="C278">
        <v>502.05128205128204</v>
      </c>
      <c r="D278">
        <v>0</v>
      </c>
      <c r="E278">
        <v>0</v>
      </c>
      <c r="F278">
        <v>0</v>
      </c>
      <c r="G278">
        <f t="shared" si="4"/>
        <v>502.05128205128204</v>
      </c>
    </row>
    <row r="279" spans="1:8" x14ac:dyDescent="0.25">
      <c r="A279" t="s">
        <v>40</v>
      </c>
      <c r="B279" t="s">
        <v>6</v>
      </c>
      <c r="C279">
        <v>4792.3076923076924</v>
      </c>
      <c r="D279">
        <v>0</v>
      </c>
      <c r="E279">
        <v>0</v>
      </c>
      <c r="F279">
        <v>0</v>
      </c>
      <c r="G279">
        <f t="shared" si="4"/>
        <v>4792.3076923076924</v>
      </c>
    </row>
    <row r="280" spans="1:8" x14ac:dyDescent="0.25">
      <c r="A280" t="s">
        <v>40</v>
      </c>
      <c r="B280" t="s">
        <v>7</v>
      </c>
      <c r="C280">
        <v>3423.0769230769233</v>
      </c>
      <c r="D280">
        <v>0</v>
      </c>
      <c r="E280">
        <v>0</v>
      </c>
      <c r="F280">
        <v>0</v>
      </c>
      <c r="G280">
        <f t="shared" si="4"/>
        <v>3423.0769230769233</v>
      </c>
    </row>
    <row r="281" spans="1:8" x14ac:dyDescent="0.25">
      <c r="A281" t="s">
        <v>40</v>
      </c>
      <c r="B281" t="s">
        <v>8</v>
      </c>
      <c r="C281">
        <v>0</v>
      </c>
      <c r="D281">
        <v>0</v>
      </c>
      <c r="E281">
        <v>0</v>
      </c>
      <c r="F281">
        <v>0</v>
      </c>
      <c r="G281">
        <f t="shared" si="4"/>
        <v>0</v>
      </c>
    </row>
    <row r="282" spans="1:8" x14ac:dyDescent="0.25">
      <c r="A282" t="s">
        <v>40</v>
      </c>
      <c r="B282" t="s">
        <v>9</v>
      </c>
      <c r="C282">
        <v>29255.897435897434</v>
      </c>
      <c r="D282">
        <v>0</v>
      </c>
      <c r="E282">
        <v>0</v>
      </c>
      <c r="F282">
        <v>0</v>
      </c>
      <c r="G282">
        <f t="shared" si="4"/>
        <v>29255.897435897434</v>
      </c>
    </row>
    <row r="283" spans="1:8" x14ac:dyDescent="0.25">
      <c r="A283" t="s">
        <v>40</v>
      </c>
      <c r="B283" t="s">
        <v>10</v>
      </c>
      <c r="C283">
        <v>1551.7948717948718</v>
      </c>
      <c r="D283">
        <v>0</v>
      </c>
      <c r="E283">
        <v>0</v>
      </c>
      <c r="F283">
        <v>0</v>
      </c>
      <c r="G283">
        <f t="shared" si="4"/>
        <v>1551.7948717948718</v>
      </c>
    </row>
    <row r="284" spans="1:8" x14ac:dyDescent="0.25">
      <c r="A284" t="s">
        <v>40</v>
      </c>
      <c r="B284" t="s">
        <v>11</v>
      </c>
      <c r="C284">
        <v>1323.5897435897436</v>
      </c>
      <c r="D284">
        <v>0</v>
      </c>
      <c r="E284">
        <v>0</v>
      </c>
      <c r="F284">
        <v>0</v>
      </c>
      <c r="G284">
        <f t="shared" si="4"/>
        <v>1323.5897435897436</v>
      </c>
    </row>
    <row r="285" spans="1:8" x14ac:dyDescent="0.25">
      <c r="A285" t="s">
        <v>40</v>
      </c>
      <c r="B285" t="s">
        <v>12</v>
      </c>
      <c r="C285">
        <v>4244.6153846153848</v>
      </c>
      <c r="D285">
        <v>0</v>
      </c>
      <c r="E285">
        <v>0</v>
      </c>
      <c r="F285">
        <v>0</v>
      </c>
      <c r="G285">
        <f t="shared" si="4"/>
        <v>4244.6153846153848</v>
      </c>
    </row>
    <row r="286" spans="1:8" x14ac:dyDescent="0.25">
      <c r="A286" t="s">
        <v>40</v>
      </c>
      <c r="B286" t="s">
        <v>13</v>
      </c>
      <c r="C286">
        <v>7165.6410256410263</v>
      </c>
      <c r="D286">
        <v>0</v>
      </c>
      <c r="E286">
        <v>0</v>
      </c>
      <c r="F286">
        <v>0</v>
      </c>
      <c r="G286">
        <f t="shared" si="4"/>
        <v>7165.6410256410263</v>
      </c>
    </row>
    <row r="287" spans="1:8" x14ac:dyDescent="0.25">
      <c r="A287" t="s">
        <v>40</v>
      </c>
      <c r="B287" t="s">
        <v>14</v>
      </c>
      <c r="C287">
        <v>593.33333333333337</v>
      </c>
      <c r="D287">
        <v>0</v>
      </c>
      <c r="E287">
        <v>0</v>
      </c>
      <c r="F287">
        <v>0</v>
      </c>
      <c r="G287">
        <f t="shared" si="4"/>
        <v>593.33333333333337</v>
      </c>
    </row>
    <row r="288" spans="1:8" x14ac:dyDescent="0.25">
      <c r="A288" t="s">
        <v>40</v>
      </c>
      <c r="B288" t="s">
        <v>15</v>
      </c>
      <c r="C288">
        <v>136.92307692307693</v>
      </c>
      <c r="D288">
        <v>0</v>
      </c>
      <c r="E288">
        <v>0</v>
      </c>
      <c r="F288">
        <v>0</v>
      </c>
      <c r="G288">
        <f t="shared" si="4"/>
        <v>136.92307692307693</v>
      </c>
    </row>
    <row r="289" spans="1:7" x14ac:dyDescent="0.25">
      <c r="A289" t="s">
        <v>40</v>
      </c>
      <c r="B289" t="s">
        <v>16</v>
      </c>
      <c r="C289">
        <v>547.69230769230774</v>
      </c>
      <c r="D289">
        <v>0</v>
      </c>
      <c r="E289">
        <v>0</v>
      </c>
      <c r="F289">
        <v>0</v>
      </c>
      <c r="G289">
        <f t="shared" si="4"/>
        <v>547.69230769230774</v>
      </c>
    </row>
    <row r="290" spans="1:7" x14ac:dyDescent="0.25">
      <c r="A290" t="s">
        <v>40</v>
      </c>
      <c r="B290" t="s">
        <v>17</v>
      </c>
      <c r="C290">
        <v>136.92307692307693</v>
      </c>
      <c r="D290">
        <v>0</v>
      </c>
      <c r="E290">
        <v>0</v>
      </c>
      <c r="F290">
        <v>0</v>
      </c>
      <c r="G290">
        <f t="shared" si="4"/>
        <v>136.92307692307693</v>
      </c>
    </row>
    <row r="291" spans="1:7" x14ac:dyDescent="0.25">
      <c r="A291" t="s">
        <v>40</v>
      </c>
      <c r="B291" t="s">
        <v>18</v>
      </c>
      <c r="C291">
        <v>5248.7179487179492</v>
      </c>
      <c r="D291">
        <v>0</v>
      </c>
      <c r="E291">
        <v>0</v>
      </c>
      <c r="F291">
        <v>0</v>
      </c>
      <c r="G291">
        <f t="shared" si="4"/>
        <v>5248.7179487179492</v>
      </c>
    </row>
    <row r="292" spans="1:7" x14ac:dyDescent="0.25">
      <c r="A292" t="s">
        <v>40</v>
      </c>
      <c r="B292" t="s">
        <v>19</v>
      </c>
      <c r="C292">
        <v>1141.0256410256409</v>
      </c>
      <c r="D292">
        <v>0</v>
      </c>
      <c r="E292">
        <v>0</v>
      </c>
      <c r="F292">
        <v>0</v>
      </c>
      <c r="G292">
        <f t="shared" si="4"/>
        <v>1141.0256410256409</v>
      </c>
    </row>
    <row r="293" spans="1:7" x14ac:dyDescent="0.25">
      <c r="A293" t="s">
        <v>40</v>
      </c>
      <c r="B293" t="s">
        <v>20</v>
      </c>
      <c r="C293">
        <v>1780</v>
      </c>
      <c r="D293">
        <v>0</v>
      </c>
      <c r="E293">
        <v>0</v>
      </c>
      <c r="F293">
        <v>0</v>
      </c>
      <c r="G293">
        <f t="shared" si="4"/>
        <v>1780</v>
      </c>
    </row>
    <row r="294" spans="1:7" x14ac:dyDescent="0.25">
      <c r="A294" t="s">
        <v>40</v>
      </c>
      <c r="B294" t="s">
        <v>21</v>
      </c>
      <c r="C294">
        <v>638.97435897435889</v>
      </c>
      <c r="D294">
        <v>0</v>
      </c>
      <c r="E294">
        <v>0</v>
      </c>
      <c r="F294">
        <v>0</v>
      </c>
      <c r="G294">
        <f t="shared" si="4"/>
        <v>638.97435897435889</v>
      </c>
    </row>
    <row r="295" spans="1:7" x14ac:dyDescent="0.25">
      <c r="A295" t="s">
        <v>40</v>
      </c>
      <c r="B295" t="s">
        <v>22</v>
      </c>
      <c r="C295">
        <v>2190.7692307692309</v>
      </c>
      <c r="D295">
        <v>0</v>
      </c>
      <c r="E295">
        <v>0</v>
      </c>
      <c r="F295">
        <v>0</v>
      </c>
      <c r="G295">
        <f t="shared" si="4"/>
        <v>2190.7692307692309</v>
      </c>
    </row>
    <row r="296" spans="1:7" x14ac:dyDescent="0.25">
      <c r="A296" t="s">
        <v>40</v>
      </c>
      <c r="B296" t="s">
        <v>23</v>
      </c>
      <c r="C296">
        <v>182.56410256410257</v>
      </c>
      <c r="D296">
        <v>0</v>
      </c>
      <c r="E296">
        <v>0</v>
      </c>
      <c r="F296">
        <v>0</v>
      </c>
      <c r="G296">
        <f t="shared" si="4"/>
        <v>182.56410256410257</v>
      </c>
    </row>
    <row r="297" spans="1:7" x14ac:dyDescent="0.25">
      <c r="A297" t="s">
        <v>40</v>
      </c>
      <c r="B297" t="s">
        <v>42</v>
      </c>
      <c r="C297">
        <v>0</v>
      </c>
      <c r="D297">
        <v>0</v>
      </c>
      <c r="E297">
        <v>0</v>
      </c>
      <c r="F297">
        <v>0</v>
      </c>
      <c r="G297">
        <f t="shared" si="4"/>
        <v>0</v>
      </c>
    </row>
  </sheetData>
  <autoFilter ref="A1:G9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7"/>
  <sheetViews>
    <sheetView topLeftCell="B1" workbookViewId="0">
      <pane ySplit="1" topLeftCell="A2" activePane="bottomLeft" state="frozen"/>
      <selection pane="bottomLeft" activeCell="J2" sqref="J2"/>
    </sheetView>
  </sheetViews>
  <sheetFormatPr baseColWidth="10" defaultRowHeight="15" x14ac:dyDescent="0.25"/>
  <cols>
    <col min="1" max="1" width="31" bestFit="1" customWidth="1"/>
    <col min="4" max="4" width="12" customWidth="1"/>
    <col min="7" max="7" width="19" bestFit="1" customWidth="1"/>
    <col min="8" max="8" width="21.5703125" bestFit="1" customWidth="1"/>
    <col min="9" max="9" width="11.85546875" bestFit="1" customWidth="1"/>
    <col min="10" max="10" width="13.140625" bestFit="1" customWidth="1"/>
    <col min="13" max="13" width="14.5703125" bestFit="1" customWidth="1"/>
  </cols>
  <sheetData>
    <row r="1" spans="1:13" x14ac:dyDescent="0.25">
      <c r="A1" t="s">
        <v>25</v>
      </c>
      <c r="B1" t="s">
        <v>26</v>
      </c>
      <c r="C1" t="s">
        <v>24</v>
      </c>
      <c r="D1" t="s">
        <v>32</v>
      </c>
      <c r="E1" t="s">
        <v>31</v>
      </c>
      <c r="F1" t="s">
        <v>43</v>
      </c>
      <c r="G1" t="s">
        <v>260</v>
      </c>
      <c r="H1" t="s">
        <v>33</v>
      </c>
    </row>
    <row r="2" spans="1:13" x14ac:dyDescent="0.25">
      <c r="A2" t="s">
        <v>27</v>
      </c>
      <c r="B2" t="s">
        <v>0</v>
      </c>
      <c r="C2">
        <v>559328.34009999875</v>
      </c>
      <c r="D2">
        <v>6400918.4699000008</v>
      </c>
      <c r="E2">
        <v>8755</v>
      </c>
      <c r="F2">
        <v>221</v>
      </c>
      <c r="G2">
        <v>6172769.2291999999</v>
      </c>
      <c r="H2">
        <f>+D2+C2+G2</f>
        <v>13133016.0392</v>
      </c>
      <c r="J2" s="33"/>
      <c r="K2" s="4"/>
      <c r="L2" s="4"/>
      <c r="M2" s="34"/>
    </row>
    <row r="3" spans="1:13" x14ac:dyDescent="0.25">
      <c r="A3" t="s">
        <v>27</v>
      </c>
      <c r="B3" t="s">
        <v>1</v>
      </c>
      <c r="C3">
        <v>373306.17020000005</v>
      </c>
      <c r="D3">
        <v>4273362.0697999997</v>
      </c>
      <c r="E3">
        <v>5197</v>
      </c>
      <c r="F3">
        <v>151</v>
      </c>
      <c r="G3">
        <v>4905444.2602000004</v>
      </c>
      <c r="H3">
        <f t="shared" ref="H3:H66" si="0">+D3+C3+G3</f>
        <v>9552112.5001999997</v>
      </c>
      <c r="J3" s="33"/>
      <c r="K3" s="4"/>
      <c r="L3" s="4"/>
      <c r="M3" s="34"/>
    </row>
    <row r="4" spans="1:13" x14ac:dyDescent="0.25">
      <c r="A4" t="s">
        <v>27</v>
      </c>
      <c r="B4" t="s">
        <v>2</v>
      </c>
      <c r="C4">
        <v>438273.41999999993</v>
      </c>
      <c r="D4">
        <v>2814622.6203000001</v>
      </c>
      <c r="E4">
        <v>4632</v>
      </c>
      <c r="F4">
        <v>136</v>
      </c>
      <c r="G4">
        <v>2621890.4901000001</v>
      </c>
      <c r="H4">
        <f t="shared" si="0"/>
        <v>5874786.5304000005</v>
      </c>
      <c r="J4" s="33"/>
      <c r="K4" s="4"/>
      <c r="L4" s="4"/>
      <c r="M4" s="34"/>
    </row>
    <row r="5" spans="1:13" x14ac:dyDescent="0.25">
      <c r="A5" t="s">
        <v>27</v>
      </c>
      <c r="B5" t="s">
        <v>3</v>
      </c>
      <c r="C5">
        <v>409575.36030000052</v>
      </c>
      <c r="D5">
        <v>2101104.8202000004</v>
      </c>
      <c r="E5">
        <v>2575</v>
      </c>
      <c r="F5">
        <v>66</v>
      </c>
      <c r="G5">
        <v>1986746.7700000005</v>
      </c>
      <c r="H5">
        <f t="shared" si="0"/>
        <v>4497426.9505000012</v>
      </c>
      <c r="J5" s="33"/>
      <c r="K5" s="4"/>
      <c r="L5" s="4"/>
      <c r="M5" s="34"/>
    </row>
    <row r="6" spans="1:13" x14ac:dyDescent="0.25">
      <c r="A6" t="s">
        <v>27</v>
      </c>
      <c r="B6" t="s">
        <v>4</v>
      </c>
      <c r="C6">
        <v>669162.1101999972</v>
      </c>
      <c r="D6">
        <v>8061835.4001000002</v>
      </c>
      <c r="E6">
        <v>10088</v>
      </c>
      <c r="F6">
        <v>302</v>
      </c>
      <c r="G6">
        <v>7738972.9897000017</v>
      </c>
      <c r="H6">
        <f t="shared" si="0"/>
        <v>16469970.5</v>
      </c>
      <c r="J6" s="33"/>
      <c r="K6" s="4"/>
      <c r="L6" s="4"/>
      <c r="M6" s="34"/>
    </row>
    <row r="7" spans="1:13" x14ac:dyDescent="0.25">
      <c r="A7" t="s">
        <v>27</v>
      </c>
      <c r="B7" t="s">
        <v>5</v>
      </c>
      <c r="C7">
        <v>947646.02979999874</v>
      </c>
      <c r="D7">
        <v>7152851.5000000009</v>
      </c>
      <c r="E7">
        <v>9208</v>
      </c>
      <c r="F7">
        <v>257</v>
      </c>
      <c r="G7">
        <v>6720645.5496999985</v>
      </c>
      <c r="H7">
        <f t="shared" si="0"/>
        <v>14821143.079499997</v>
      </c>
      <c r="J7" s="33"/>
      <c r="K7" s="4"/>
      <c r="L7" s="4"/>
      <c r="M7" s="34"/>
    </row>
    <row r="8" spans="1:13" x14ac:dyDescent="0.25">
      <c r="A8" t="s">
        <v>27</v>
      </c>
      <c r="B8" t="s">
        <v>6</v>
      </c>
      <c r="C8">
        <v>846152.38040000014</v>
      </c>
      <c r="D8">
        <v>5446523.5604000026</v>
      </c>
      <c r="E8">
        <v>12637</v>
      </c>
      <c r="F8">
        <v>288</v>
      </c>
      <c r="G8">
        <v>5525127.1898999996</v>
      </c>
      <c r="H8">
        <f t="shared" si="0"/>
        <v>11817803.130700003</v>
      </c>
      <c r="J8" s="33"/>
      <c r="K8" s="4"/>
      <c r="L8" s="4"/>
      <c r="M8" s="34"/>
    </row>
    <row r="9" spans="1:13" x14ac:dyDescent="0.25">
      <c r="A9" t="s">
        <v>27</v>
      </c>
      <c r="B9" t="s">
        <v>7</v>
      </c>
      <c r="C9">
        <v>2436115.2094999962</v>
      </c>
      <c r="D9">
        <v>13037605.329099998</v>
      </c>
      <c r="E9">
        <v>15120</v>
      </c>
      <c r="F9">
        <v>379</v>
      </c>
      <c r="G9">
        <v>13402514.298900003</v>
      </c>
      <c r="H9">
        <f t="shared" si="0"/>
        <v>28876234.837499999</v>
      </c>
      <c r="J9" s="33"/>
      <c r="K9" s="4"/>
      <c r="L9" s="4"/>
      <c r="M9" s="34"/>
    </row>
    <row r="10" spans="1:13" x14ac:dyDescent="0.25">
      <c r="A10" t="s">
        <v>27</v>
      </c>
      <c r="B10" t="s">
        <v>8</v>
      </c>
      <c r="C10">
        <v>86520.34990000003</v>
      </c>
      <c r="D10">
        <v>605252.86</v>
      </c>
      <c r="E10">
        <v>356</v>
      </c>
      <c r="F10">
        <v>8</v>
      </c>
      <c r="G10">
        <v>613917.17000000004</v>
      </c>
      <c r="H10">
        <f t="shared" si="0"/>
        <v>1305690.3799000001</v>
      </c>
      <c r="J10" s="33"/>
      <c r="K10" s="4"/>
      <c r="L10" s="4"/>
      <c r="M10" s="34"/>
    </row>
    <row r="11" spans="1:13" x14ac:dyDescent="0.25">
      <c r="A11" t="s">
        <v>27</v>
      </c>
      <c r="B11" t="s">
        <v>9</v>
      </c>
      <c r="C11">
        <v>5703265.4000000022</v>
      </c>
      <c r="D11">
        <v>36405588.709899999</v>
      </c>
      <c r="E11">
        <v>60565</v>
      </c>
      <c r="F11">
        <v>1406</v>
      </c>
      <c r="G11">
        <v>38009188.069799997</v>
      </c>
      <c r="H11">
        <f t="shared" si="0"/>
        <v>80118042.179699987</v>
      </c>
      <c r="J11" s="33"/>
      <c r="K11" s="4"/>
      <c r="L11" s="4"/>
      <c r="M11" s="34"/>
    </row>
    <row r="12" spans="1:13" x14ac:dyDescent="0.25">
      <c r="A12" t="s">
        <v>27</v>
      </c>
      <c r="B12" t="s">
        <v>10</v>
      </c>
      <c r="C12">
        <v>975457.70050000027</v>
      </c>
      <c r="D12">
        <v>6420946.8606000012</v>
      </c>
      <c r="E12">
        <v>10231</v>
      </c>
      <c r="F12">
        <v>262</v>
      </c>
      <c r="G12">
        <v>5770950.0214</v>
      </c>
      <c r="H12">
        <f t="shared" si="0"/>
        <v>13167354.582500001</v>
      </c>
      <c r="J12" s="33"/>
      <c r="K12" s="4"/>
      <c r="L12" s="4"/>
      <c r="M12" s="34"/>
    </row>
    <row r="13" spans="1:13" x14ac:dyDescent="0.25">
      <c r="A13" t="s">
        <v>27</v>
      </c>
      <c r="B13" t="s">
        <v>11</v>
      </c>
      <c r="C13">
        <v>688777.33070000261</v>
      </c>
      <c r="D13">
        <v>4727591.8708000006</v>
      </c>
      <c r="E13">
        <v>10717</v>
      </c>
      <c r="F13">
        <v>261</v>
      </c>
      <c r="G13">
        <v>4514896.0814000005</v>
      </c>
      <c r="H13">
        <f t="shared" si="0"/>
        <v>9931265.2829000037</v>
      </c>
      <c r="J13" s="33"/>
      <c r="K13" s="4"/>
      <c r="L13" s="4"/>
      <c r="M13" s="34"/>
    </row>
    <row r="14" spans="1:13" x14ac:dyDescent="0.25">
      <c r="A14" t="s">
        <v>27</v>
      </c>
      <c r="B14" t="s">
        <v>12</v>
      </c>
      <c r="C14">
        <v>932765.14979999792</v>
      </c>
      <c r="D14">
        <v>8423726.8399</v>
      </c>
      <c r="E14">
        <v>13975</v>
      </c>
      <c r="F14">
        <v>322</v>
      </c>
      <c r="G14">
        <v>8065519.4497999996</v>
      </c>
      <c r="H14">
        <f t="shared" si="0"/>
        <v>17422011.439499997</v>
      </c>
      <c r="J14" s="33"/>
      <c r="K14" s="4"/>
      <c r="L14" s="4"/>
      <c r="M14" s="34"/>
    </row>
    <row r="15" spans="1:13" x14ac:dyDescent="0.25">
      <c r="A15" t="s">
        <v>27</v>
      </c>
      <c r="B15" t="s">
        <v>13</v>
      </c>
      <c r="C15">
        <v>2524242.7000000048</v>
      </c>
      <c r="D15">
        <v>16617135.849600002</v>
      </c>
      <c r="E15">
        <v>33295</v>
      </c>
      <c r="F15">
        <v>821</v>
      </c>
      <c r="G15">
        <v>15796660.310399998</v>
      </c>
      <c r="H15">
        <f t="shared" si="0"/>
        <v>34938038.859999999</v>
      </c>
      <c r="J15" s="33"/>
      <c r="K15" s="4"/>
      <c r="L15" s="4"/>
      <c r="M15" s="34"/>
    </row>
    <row r="16" spans="1:13" x14ac:dyDescent="0.25">
      <c r="A16" t="s">
        <v>27</v>
      </c>
      <c r="B16" t="s">
        <v>14</v>
      </c>
      <c r="C16">
        <v>1133997.8300000019</v>
      </c>
      <c r="D16">
        <v>5820541.2697000001</v>
      </c>
      <c r="E16">
        <v>8825</v>
      </c>
      <c r="F16">
        <v>227</v>
      </c>
      <c r="G16">
        <v>5950233.5402000006</v>
      </c>
      <c r="H16">
        <f t="shared" si="0"/>
        <v>12904772.639900003</v>
      </c>
      <c r="J16" s="33"/>
      <c r="K16" s="4"/>
      <c r="L16" s="4"/>
      <c r="M16" s="34"/>
    </row>
    <row r="17" spans="1:13" x14ac:dyDescent="0.25">
      <c r="A17" t="s">
        <v>27</v>
      </c>
      <c r="B17" t="s">
        <v>15</v>
      </c>
      <c r="C17">
        <v>310831.6698999987</v>
      </c>
      <c r="D17">
        <v>4482712.5301000001</v>
      </c>
      <c r="E17">
        <v>4635</v>
      </c>
      <c r="F17">
        <v>119</v>
      </c>
      <c r="G17">
        <v>3886012.5802000002</v>
      </c>
      <c r="H17">
        <f t="shared" si="0"/>
        <v>8679556.780199999</v>
      </c>
      <c r="J17" s="33"/>
      <c r="K17" s="4"/>
      <c r="L17" s="4"/>
      <c r="M17" s="34"/>
    </row>
    <row r="18" spans="1:13" x14ac:dyDescent="0.25">
      <c r="A18" t="s">
        <v>27</v>
      </c>
      <c r="B18" t="s">
        <v>16</v>
      </c>
      <c r="C18">
        <v>308010.00010000076</v>
      </c>
      <c r="D18">
        <v>2436980.3503</v>
      </c>
      <c r="E18">
        <v>4541</v>
      </c>
      <c r="F18">
        <v>115</v>
      </c>
      <c r="G18">
        <v>2565032.6100999997</v>
      </c>
      <c r="H18">
        <f t="shared" si="0"/>
        <v>5310022.9605</v>
      </c>
      <c r="J18" s="33"/>
      <c r="K18" s="4"/>
      <c r="L18" s="4"/>
      <c r="M18" s="34"/>
    </row>
    <row r="19" spans="1:13" x14ac:dyDescent="0.25">
      <c r="A19" t="s">
        <v>27</v>
      </c>
      <c r="B19" t="s">
        <v>17</v>
      </c>
      <c r="C19">
        <v>459469.57979999948</v>
      </c>
      <c r="D19">
        <v>2488710.0100999996</v>
      </c>
      <c r="E19">
        <v>3073</v>
      </c>
      <c r="F19">
        <v>78</v>
      </c>
      <c r="G19">
        <v>2528661.4699999997</v>
      </c>
      <c r="H19">
        <f t="shared" si="0"/>
        <v>5476841.0598999988</v>
      </c>
      <c r="J19" s="33"/>
      <c r="K19" s="4"/>
      <c r="L19" s="4"/>
      <c r="M19" s="34"/>
    </row>
    <row r="20" spans="1:13" x14ac:dyDescent="0.25">
      <c r="A20" t="s">
        <v>27</v>
      </c>
      <c r="B20" t="s">
        <v>18</v>
      </c>
      <c r="C20">
        <v>1647870.4285999909</v>
      </c>
      <c r="D20">
        <v>19853244.260299999</v>
      </c>
      <c r="E20">
        <v>18140</v>
      </c>
      <c r="F20">
        <v>448</v>
      </c>
      <c r="G20">
        <v>18986198.650599997</v>
      </c>
      <c r="H20">
        <f t="shared" si="0"/>
        <v>40487313.339499988</v>
      </c>
      <c r="J20" s="33"/>
      <c r="K20" s="4"/>
      <c r="L20" s="4"/>
      <c r="M20" s="34"/>
    </row>
    <row r="21" spans="1:13" x14ac:dyDescent="0.25">
      <c r="A21" t="s">
        <v>27</v>
      </c>
      <c r="B21" t="s">
        <v>19</v>
      </c>
      <c r="C21">
        <v>850535.00979999918</v>
      </c>
      <c r="D21">
        <v>5700651.3197999997</v>
      </c>
      <c r="E21">
        <v>10886</v>
      </c>
      <c r="F21">
        <v>280</v>
      </c>
      <c r="G21">
        <v>6412645.71</v>
      </c>
      <c r="H21">
        <f t="shared" si="0"/>
        <v>12963832.0396</v>
      </c>
      <c r="J21" s="33"/>
      <c r="K21" s="4"/>
      <c r="L21" s="4"/>
      <c r="M21" s="34"/>
    </row>
    <row r="22" spans="1:13" x14ac:dyDescent="0.25">
      <c r="A22" t="s">
        <v>27</v>
      </c>
      <c r="B22" t="s">
        <v>20</v>
      </c>
      <c r="C22">
        <v>584243.6799999997</v>
      </c>
      <c r="D22">
        <v>2889942.5297000003</v>
      </c>
      <c r="E22">
        <v>4485</v>
      </c>
      <c r="F22">
        <v>106</v>
      </c>
      <c r="G22">
        <v>2733471.3600000003</v>
      </c>
      <c r="H22">
        <f t="shared" si="0"/>
        <v>6207657.5697000008</v>
      </c>
      <c r="J22" s="33"/>
      <c r="K22" s="4"/>
      <c r="L22" s="4"/>
      <c r="M22" s="34"/>
    </row>
    <row r="23" spans="1:13" x14ac:dyDescent="0.25">
      <c r="A23" t="s">
        <v>27</v>
      </c>
      <c r="B23" t="s">
        <v>21</v>
      </c>
      <c r="C23">
        <v>245019.57000000076</v>
      </c>
      <c r="D23">
        <v>2121750.3705000002</v>
      </c>
      <c r="E23">
        <v>4512</v>
      </c>
      <c r="F23">
        <v>121</v>
      </c>
      <c r="G23">
        <v>2187508.4200000004</v>
      </c>
      <c r="H23">
        <f t="shared" si="0"/>
        <v>4554278.3605000013</v>
      </c>
      <c r="J23" s="33"/>
      <c r="K23" s="4"/>
      <c r="L23" s="4"/>
      <c r="M23" s="34"/>
    </row>
    <row r="24" spans="1:13" x14ac:dyDescent="0.25">
      <c r="A24" t="s">
        <v>27</v>
      </c>
      <c r="B24" t="s">
        <v>22</v>
      </c>
      <c r="C24">
        <v>433468.36999999639</v>
      </c>
      <c r="D24">
        <v>4975850.1905999985</v>
      </c>
      <c r="E24">
        <v>7177</v>
      </c>
      <c r="F24">
        <v>192</v>
      </c>
      <c r="G24">
        <v>5057247.929800001</v>
      </c>
      <c r="H24">
        <f t="shared" si="0"/>
        <v>10466566.490399996</v>
      </c>
      <c r="J24" s="33"/>
      <c r="K24" s="4"/>
      <c r="L24" s="4"/>
      <c r="M24" s="34"/>
    </row>
    <row r="25" spans="1:13" x14ac:dyDescent="0.25">
      <c r="A25" t="s">
        <v>27</v>
      </c>
      <c r="B25" t="s">
        <v>23</v>
      </c>
      <c r="C25">
        <v>353417.90999999968</v>
      </c>
      <c r="D25">
        <v>1690431.1897000002</v>
      </c>
      <c r="E25">
        <v>2007</v>
      </c>
      <c r="F25">
        <v>51</v>
      </c>
      <c r="G25">
        <v>1719465.0599000002</v>
      </c>
      <c r="H25">
        <f t="shared" si="0"/>
        <v>3763314.1595999999</v>
      </c>
      <c r="J25" s="33"/>
      <c r="K25" s="4"/>
      <c r="L25" s="4"/>
      <c r="M25" s="34"/>
    </row>
    <row r="26" spans="1:13" s="1" customFormat="1" x14ac:dyDescent="0.25">
      <c r="A26" s="1" t="s">
        <v>28</v>
      </c>
      <c r="B26" s="1" t="s">
        <v>0</v>
      </c>
      <c r="C26" s="1">
        <v>394891.18999999994</v>
      </c>
      <c r="D26" s="1">
        <v>3158218.5799999991</v>
      </c>
      <c r="E26" s="1">
        <v>6344</v>
      </c>
      <c r="F26" s="1">
        <v>169</v>
      </c>
      <c r="G26" s="1">
        <v>4285305.1694</v>
      </c>
      <c r="H26" s="1">
        <f t="shared" si="0"/>
        <v>7838414.9393999986</v>
      </c>
      <c r="I26"/>
    </row>
    <row r="27" spans="1:13" x14ac:dyDescent="0.25">
      <c r="A27" t="s">
        <v>28</v>
      </c>
      <c r="B27" t="s">
        <v>1</v>
      </c>
      <c r="C27">
        <v>117524.82009999966</v>
      </c>
      <c r="D27">
        <v>1686272.4100999997</v>
      </c>
      <c r="E27">
        <v>3160</v>
      </c>
      <c r="F27">
        <v>100</v>
      </c>
      <c r="G27">
        <v>1813636.54</v>
      </c>
      <c r="H27">
        <f t="shared" si="0"/>
        <v>3617433.7701999992</v>
      </c>
    </row>
    <row r="28" spans="1:13" x14ac:dyDescent="0.25">
      <c r="A28" t="s">
        <v>28</v>
      </c>
      <c r="B28" t="s">
        <v>2</v>
      </c>
      <c r="C28">
        <v>277132.13020000025</v>
      </c>
      <c r="D28">
        <v>2380166.1401</v>
      </c>
      <c r="E28">
        <v>4492</v>
      </c>
      <c r="F28">
        <v>122</v>
      </c>
      <c r="G28">
        <v>2434479.3402</v>
      </c>
      <c r="H28">
        <f t="shared" si="0"/>
        <v>5091777.6105000004</v>
      </c>
    </row>
    <row r="29" spans="1:13" x14ac:dyDescent="0.25">
      <c r="A29" t="s">
        <v>28</v>
      </c>
      <c r="B29" t="s">
        <v>3</v>
      </c>
      <c r="C29">
        <v>64165.180200000061</v>
      </c>
      <c r="D29">
        <v>593348.66009999998</v>
      </c>
      <c r="E29">
        <v>2201</v>
      </c>
      <c r="F29">
        <v>37</v>
      </c>
      <c r="G29">
        <v>778716.72019999998</v>
      </c>
      <c r="H29">
        <f t="shared" si="0"/>
        <v>1436230.5605000001</v>
      </c>
    </row>
    <row r="30" spans="1:13" x14ac:dyDescent="0.25">
      <c r="A30" t="s">
        <v>28</v>
      </c>
      <c r="B30" t="s">
        <v>4</v>
      </c>
      <c r="C30">
        <v>189411.91940000094</v>
      </c>
      <c r="D30">
        <v>4407998.8997999998</v>
      </c>
      <c r="E30">
        <v>8157</v>
      </c>
      <c r="F30">
        <v>192</v>
      </c>
      <c r="G30">
        <v>4670702.5905000009</v>
      </c>
      <c r="H30">
        <f t="shared" si="0"/>
        <v>9268113.4097000025</v>
      </c>
    </row>
    <row r="31" spans="1:13" x14ac:dyDescent="0.25">
      <c r="A31" t="s">
        <v>28</v>
      </c>
      <c r="B31" t="s">
        <v>5</v>
      </c>
      <c r="C31">
        <v>162868.17000000039</v>
      </c>
      <c r="D31">
        <v>1589445.5590999997</v>
      </c>
      <c r="E31">
        <v>4314</v>
      </c>
      <c r="F31">
        <v>109</v>
      </c>
      <c r="G31">
        <v>1721391.3202999998</v>
      </c>
      <c r="H31">
        <f t="shared" si="0"/>
        <v>3473705.0493999999</v>
      </c>
    </row>
    <row r="32" spans="1:13" x14ac:dyDescent="0.25">
      <c r="A32" t="s">
        <v>28</v>
      </c>
      <c r="B32" t="s">
        <v>6</v>
      </c>
      <c r="C32">
        <v>206503.94019999937</v>
      </c>
      <c r="D32">
        <v>1609813.5898000002</v>
      </c>
      <c r="E32">
        <v>3575</v>
      </c>
      <c r="F32">
        <v>93</v>
      </c>
      <c r="G32">
        <v>1728016.5696</v>
      </c>
      <c r="H32">
        <f t="shared" si="0"/>
        <v>3544334.0995999994</v>
      </c>
    </row>
    <row r="33" spans="1:8" x14ac:dyDescent="0.25">
      <c r="A33" t="s">
        <v>28</v>
      </c>
      <c r="B33" t="s">
        <v>7</v>
      </c>
      <c r="C33">
        <v>616862.21870000055</v>
      </c>
      <c r="D33">
        <v>3202646.7050000001</v>
      </c>
      <c r="E33">
        <v>4478</v>
      </c>
      <c r="F33">
        <v>110</v>
      </c>
      <c r="G33">
        <v>3619788.3156999997</v>
      </c>
      <c r="H33">
        <f t="shared" si="0"/>
        <v>7439297.2394000003</v>
      </c>
    </row>
    <row r="34" spans="1:8" x14ac:dyDescent="0.25">
      <c r="A34" t="s">
        <v>28</v>
      </c>
      <c r="B34" t="s">
        <v>8</v>
      </c>
      <c r="C34">
        <v>12067.559999999983</v>
      </c>
      <c r="D34">
        <v>94868.83</v>
      </c>
      <c r="E34">
        <v>197</v>
      </c>
      <c r="F34">
        <v>5</v>
      </c>
      <c r="G34">
        <v>104872.55</v>
      </c>
      <c r="H34">
        <f t="shared" si="0"/>
        <v>211808.94</v>
      </c>
    </row>
    <row r="35" spans="1:8" x14ac:dyDescent="0.25">
      <c r="A35" t="s">
        <v>28</v>
      </c>
      <c r="B35" t="s">
        <v>9</v>
      </c>
      <c r="C35">
        <v>725665.68020000262</v>
      </c>
      <c r="D35">
        <v>4512374.7403000006</v>
      </c>
      <c r="E35">
        <v>15558</v>
      </c>
      <c r="F35">
        <v>330</v>
      </c>
      <c r="G35">
        <v>5244132.1300000008</v>
      </c>
      <c r="H35">
        <f t="shared" si="0"/>
        <v>10482172.550500004</v>
      </c>
    </row>
    <row r="36" spans="1:8" x14ac:dyDescent="0.25">
      <c r="A36" t="s">
        <v>28</v>
      </c>
      <c r="B36" t="s">
        <v>10</v>
      </c>
      <c r="C36">
        <v>559053.29080000054</v>
      </c>
      <c r="D36">
        <v>2636410.1746</v>
      </c>
      <c r="E36">
        <v>4514</v>
      </c>
      <c r="F36">
        <v>109</v>
      </c>
      <c r="G36">
        <v>2940588.1354000005</v>
      </c>
      <c r="H36">
        <f t="shared" si="0"/>
        <v>6136051.6008000011</v>
      </c>
    </row>
    <row r="37" spans="1:8" x14ac:dyDescent="0.25">
      <c r="A37" t="s">
        <v>28</v>
      </c>
      <c r="B37" t="s">
        <v>11</v>
      </c>
      <c r="C37">
        <v>400593.08980000066</v>
      </c>
      <c r="D37">
        <v>3834305.7105</v>
      </c>
      <c r="E37">
        <v>9298</v>
      </c>
      <c r="F37">
        <v>251</v>
      </c>
      <c r="G37">
        <v>4180840.2908999999</v>
      </c>
      <c r="H37">
        <f t="shared" si="0"/>
        <v>8415739.0911999997</v>
      </c>
    </row>
    <row r="38" spans="1:8" x14ac:dyDescent="0.25">
      <c r="A38" t="s">
        <v>28</v>
      </c>
      <c r="B38" t="s">
        <v>12</v>
      </c>
      <c r="C38">
        <v>203303.97019999893</v>
      </c>
      <c r="D38">
        <v>2568368.2703999998</v>
      </c>
      <c r="E38">
        <v>6552</v>
      </c>
      <c r="F38">
        <v>139</v>
      </c>
      <c r="G38">
        <v>2883239.7799999993</v>
      </c>
      <c r="H38">
        <f t="shared" si="0"/>
        <v>5654912.0205999985</v>
      </c>
    </row>
    <row r="39" spans="1:8" x14ac:dyDescent="0.25">
      <c r="A39" t="s">
        <v>28</v>
      </c>
      <c r="B39" t="s">
        <v>13</v>
      </c>
      <c r="C39">
        <v>570949.56119999941</v>
      </c>
      <c r="D39">
        <v>3589075.4606999997</v>
      </c>
      <c r="E39">
        <v>11590</v>
      </c>
      <c r="F39">
        <v>278</v>
      </c>
      <c r="G39">
        <v>4480449.2706000004</v>
      </c>
      <c r="H39">
        <f t="shared" si="0"/>
        <v>8640474.2925000004</v>
      </c>
    </row>
    <row r="40" spans="1:8" x14ac:dyDescent="0.25">
      <c r="A40" t="s">
        <v>28</v>
      </c>
      <c r="B40" t="s">
        <v>14</v>
      </c>
      <c r="C40">
        <v>158374.41949999984</v>
      </c>
      <c r="D40">
        <v>1484551.4707000004</v>
      </c>
      <c r="E40">
        <v>2385</v>
      </c>
      <c r="F40">
        <v>54</v>
      </c>
      <c r="G40">
        <v>1597182.6997999998</v>
      </c>
      <c r="H40">
        <f t="shared" si="0"/>
        <v>3240108.59</v>
      </c>
    </row>
    <row r="41" spans="1:8" x14ac:dyDescent="0.25">
      <c r="A41" t="s">
        <v>28</v>
      </c>
      <c r="B41" t="s">
        <v>15</v>
      </c>
      <c r="C41">
        <v>151863.14979999996</v>
      </c>
      <c r="D41">
        <v>740249.82959999994</v>
      </c>
      <c r="E41">
        <v>1678</v>
      </c>
      <c r="F41">
        <v>49</v>
      </c>
      <c r="G41">
        <v>723107.79009999998</v>
      </c>
      <c r="H41">
        <f t="shared" si="0"/>
        <v>1615220.7694999999</v>
      </c>
    </row>
    <row r="42" spans="1:8" x14ac:dyDescent="0.25">
      <c r="A42" t="s">
        <v>28</v>
      </c>
      <c r="B42" t="s">
        <v>16</v>
      </c>
      <c r="C42">
        <v>13769.269800000009</v>
      </c>
      <c r="D42">
        <v>402803.0001</v>
      </c>
      <c r="E42">
        <v>1596</v>
      </c>
      <c r="F42">
        <v>41</v>
      </c>
      <c r="G42">
        <v>690266.66030000011</v>
      </c>
      <c r="H42">
        <f t="shared" si="0"/>
        <v>1106838.9302000001</v>
      </c>
    </row>
    <row r="43" spans="1:8" x14ac:dyDescent="0.25">
      <c r="A43" t="s">
        <v>28</v>
      </c>
      <c r="B43" t="s">
        <v>17</v>
      </c>
      <c r="C43">
        <v>43402.360500000068</v>
      </c>
      <c r="D43">
        <v>488051.14970000001</v>
      </c>
      <c r="E43">
        <v>800</v>
      </c>
      <c r="F43">
        <v>21</v>
      </c>
      <c r="G43">
        <v>543979.19999999995</v>
      </c>
      <c r="H43">
        <f t="shared" si="0"/>
        <v>1075432.7102000001</v>
      </c>
    </row>
    <row r="44" spans="1:8" x14ac:dyDescent="0.25">
      <c r="A44" t="s">
        <v>28</v>
      </c>
      <c r="B44" t="s">
        <v>18</v>
      </c>
      <c r="C44">
        <v>507956.07759999763</v>
      </c>
      <c r="D44">
        <v>5255453.8238999993</v>
      </c>
      <c r="E44">
        <v>6718</v>
      </c>
      <c r="F44">
        <v>176</v>
      </c>
      <c r="G44">
        <v>5160271.8166000005</v>
      </c>
      <c r="H44">
        <f t="shared" si="0"/>
        <v>10923681.718099996</v>
      </c>
    </row>
    <row r="45" spans="1:8" x14ac:dyDescent="0.25">
      <c r="A45" t="s">
        <v>28</v>
      </c>
      <c r="B45" t="s">
        <v>19</v>
      </c>
      <c r="C45">
        <v>137167.64000000001</v>
      </c>
      <c r="D45">
        <v>801077.8898</v>
      </c>
      <c r="E45">
        <v>1906</v>
      </c>
      <c r="F45">
        <v>41</v>
      </c>
      <c r="G45">
        <v>694588.29</v>
      </c>
      <c r="H45">
        <f t="shared" si="0"/>
        <v>1632833.8198000002</v>
      </c>
    </row>
    <row r="46" spans="1:8" x14ac:dyDescent="0.25">
      <c r="A46" t="s">
        <v>28</v>
      </c>
      <c r="B46" t="s">
        <v>20</v>
      </c>
      <c r="C46">
        <v>102626.91999999998</v>
      </c>
      <c r="D46">
        <v>544617.36979999999</v>
      </c>
      <c r="E46">
        <v>1518</v>
      </c>
      <c r="F46">
        <v>29</v>
      </c>
      <c r="G46">
        <v>546025.76009999996</v>
      </c>
      <c r="H46">
        <f t="shared" si="0"/>
        <v>1193270.0499</v>
      </c>
    </row>
    <row r="47" spans="1:8" x14ac:dyDescent="0.25">
      <c r="A47" t="s">
        <v>28</v>
      </c>
      <c r="B47" t="s">
        <v>21</v>
      </c>
      <c r="C47">
        <v>138196.62000000011</v>
      </c>
      <c r="D47">
        <v>896275.1897000001</v>
      </c>
      <c r="E47">
        <v>2696</v>
      </c>
      <c r="F47">
        <v>66</v>
      </c>
      <c r="G47">
        <v>1030499.3892999999</v>
      </c>
      <c r="H47">
        <f t="shared" si="0"/>
        <v>2064971.199</v>
      </c>
    </row>
    <row r="48" spans="1:8" x14ac:dyDescent="0.25">
      <c r="A48" t="s">
        <v>28</v>
      </c>
      <c r="B48" t="s">
        <v>22</v>
      </c>
      <c r="C48">
        <v>271515.90970000066</v>
      </c>
      <c r="D48">
        <v>2242020.3696000003</v>
      </c>
      <c r="E48">
        <v>6282</v>
      </c>
      <c r="F48">
        <v>151</v>
      </c>
      <c r="G48">
        <v>2551925.9293999998</v>
      </c>
      <c r="H48">
        <f t="shared" si="0"/>
        <v>5065462.2087000012</v>
      </c>
    </row>
    <row r="49" spans="1:9" x14ac:dyDescent="0.25">
      <c r="A49" t="s">
        <v>28</v>
      </c>
      <c r="B49" t="s">
        <v>23</v>
      </c>
      <c r="C49">
        <v>119271.76959999977</v>
      </c>
      <c r="D49">
        <v>877485.04930000007</v>
      </c>
      <c r="E49">
        <v>1694</v>
      </c>
      <c r="F49">
        <v>45</v>
      </c>
      <c r="G49">
        <v>1038563.8500999998</v>
      </c>
      <c r="H49">
        <f t="shared" si="0"/>
        <v>2035320.6689999998</v>
      </c>
    </row>
    <row r="50" spans="1:9" s="1" customFormat="1" x14ac:dyDescent="0.25">
      <c r="A50" s="1" t="s">
        <v>29</v>
      </c>
      <c r="B50" s="1" t="s">
        <v>0</v>
      </c>
      <c r="C50" s="1">
        <v>99264.079699999769</v>
      </c>
      <c r="D50" s="1">
        <v>1259126.1702000003</v>
      </c>
      <c r="E50" s="1">
        <v>1280</v>
      </c>
      <c r="F50" s="1">
        <v>42</v>
      </c>
      <c r="G50" s="1">
        <v>1187574.6303999999</v>
      </c>
      <c r="H50" s="1">
        <f t="shared" si="0"/>
        <v>2545964.8803000003</v>
      </c>
      <c r="I50"/>
    </row>
    <row r="51" spans="1:9" x14ac:dyDescent="0.25">
      <c r="A51" t="s">
        <v>29</v>
      </c>
      <c r="B51" t="s">
        <v>1</v>
      </c>
      <c r="C51">
        <v>46228.130000000005</v>
      </c>
      <c r="D51">
        <v>297647.28020000004</v>
      </c>
      <c r="E51">
        <v>1076</v>
      </c>
      <c r="F51">
        <v>36</v>
      </c>
      <c r="G51">
        <v>410955.5</v>
      </c>
      <c r="H51">
        <f t="shared" si="0"/>
        <v>754830.91020000004</v>
      </c>
    </row>
    <row r="52" spans="1:9" x14ac:dyDescent="0.25">
      <c r="A52" t="s">
        <v>29</v>
      </c>
      <c r="B52" t="s">
        <v>2</v>
      </c>
      <c r="C52">
        <v>65943.219900000084</v>
      </c>
      <c r="D52">
        <v>460147.1703</v>
      </c>
      <c r="E52">
        <v>875</v>
      </c>
      <c r="F52">
        <v>29</v>
      </c>
      <c r="G52">
        <v>522722.78039999987</v>
      </c>
      <c r="H52">
        <f t="shared" si="0"/>
        <v>1048813.1705999998</v>
      </c>
    </row>
    <row r="53" spans="1:9" x14ac:dyDescent="0.25">
      <c r="A53" t="s">
        <v>29</v>
      </c>
      <c r="B53" t="s">
        <v>3</v>
      </c>
      <c r="C53">
        <v>8690.8000999999931</v>
      </c>
      <c r="D53">
        <v>186777.35049999997</v>
      </c>
      <c r="E53">
        <v>539</v>
      </c>
      <c r="F53">
        <v>18</v>
      </c>
      <c r="G53">
        <v>194921.29949999999</v>
      </c>
      <c r="H53">
        <f t="shared" si="0"/>
        <v>390389.45009999996</v>
      </c>
    </row>
    <row r="54" spans="1:9" x14ac:dyDescent="0.25">
      <c r="A54" t="s">
        <v>29</v>
      </c>
      <c r="B54" t="s">
        <v>4</v>
      </c>
      <c r="C54">
        <v>4294.269700000179</v>
      </c>
      <c r="D54">
        <v>906665.83990000002</v>
      </c>
      <c r="E54">
        <v>966</v>
      </c>
      <c r="F54">
        <v>32</v>
      </c>
      <c r="G54">
        <v>1051579.9095999999</v>
      </c>
      <c r="H54">
        <f t="shared" si="0"/>
        <v>1962540.0192</v>
      </c>
    </row>
    <row r="55" spans="1:9" x14ac:dyDescent="0.25">
      <c r="A55" t="s">
        <v>29</v>
      </c>
      <c r="B55" t="s">
        <v>5</v>
      </c>
      <c r="C55">
        <v>864.0006000000285</v>
      </c>
      <c r="D55">
        <v>290292.17000000004</v>
      </c>
      <c r="E55">
        <v>1004</v>
      </c>
      <c r="F55">
        <v>34</v>
      </c>
      <c r="G55">
        <v>272377.00020000001</v>
      </c>
      <c r="H55">
        <f t="shared" si="0"/>
        <v>563533.17080000008</v>
      </c>
    </row>
    <row r="56" spans="1:9" x14ac:dyDescent="0.25">
      <c r="A56" t="s">
        <v>29</v>
      </c>
      <c r="B56" t="s">
        <v>6</v>
      </c>
      <c r="C56">
        <v>15483.828399999649</v>
      </c>
      <c r="D56">
        <v>898701.43869999982</v>
      </c>
      <c r="E56">
        <v>2128</v>
      </c>
      <c r="F56">
        <v>71</v>
      </c>
      <c r="G56">
        <v>974516.3111000004</v>
      </c>
      <c r="H56">
        <f t="shared" si="0"/>
        <v>1888701.5781999999</v>
      </c>
    </row>
    <row r="57" spans="1:9" x14ac:dyDescent="0.25">
      <c r="A57" t="s">
        <v>29</v>
      </c>
      <c r="B57" t="s">
        <v>7</v>
      </c>
      <c r="C57">
        <v>110596.66899999994</v>
      </c>
      <c r="D57">
        <v>583554.64809999999</v>
      </c>
      <c r="E57">
        <v>1526</v>
      </c>
      <c r="F57">
        <v>51</v>
      </c>
      <c r="G57">
        <v>571350.61310000019</v>
      </c>
      <c r="H57">
        <f t="shared" si="0"/>
        <v>1265501.9302000001</v>
      </c>
    </row>
    <row r="58" spans="1:9" x14ac:dyDescent="0.25">
      <c r="A58" t="s">
        <v>29</v>
      </c>
      <c r="B58" t="s">
        <v>8</v>
      </c>
      <c r="C58" s="1">
        <v>18190.78</v>
      </c>
      <c r="D58">
        <v>22634.51</v>
      </c>
      <c r="E58">
        <v>60</v>
      </c>
      <c r="F58">
        <v>2</v>
      </c>
      <c r="G58">
        <v>31136.84</v>
      </c>
      <c r="H58">
        <f t="shared" si="0"/>
        <v>71962.12999999999</v>
      </c>
    </row>
    <row r="59" spans="1:9" x14ac:dyDescent="0.25">
      <c r="A59" t="s">
        <v>29</v>
      </c>
      <c r="B59" t="s">
        <v>9</v>
      </c>
      <c r="C59">
        <v>328905.22009999817</v>
      </c>
      <c r="D59">
        <v>2952635.3407999999</v>
      </c>
      <c r="E59">
        <v>5893</v>
      </c>
      <c r="F59">
        <v>195</v>
      </c>
      <c r="G59">
        <v>3541065.7100999998</v>
      </c>
      <c r="H59">
        <f t="shared" si="0"/>
        <v>6822606.2709999979</v>
      </c>
    </row>
    <row r="60" spans="1:9" x14ac:dyDescent="0.25">
      <c r="A60" t="s">
        <v>29</v>
      </c>
      <c r="B60" t="s">
        <v>10</v>
      </c>
      <c r="C60">
        <v>111344.06010000006</v>
      </c>
      <c r="D60">
        <v>327442.83039999998</v>
      </c>
      <c r="E60">
        <v>1200</v>
      </c>
      <c r="F60">
        <v>40</v>
      </c>
      <c r="G60">
        <v>249634.75600000002</v>
      </c>
      <c r="H60">
        <f t="shared" si="0"/>
        <v>688421.64650000003</v>
      </c>
    </row>
    <row r="61" spans="1:9" x14ac:dyDescent="0.25">
      <c r="A61" t="s">
        <v>29</v>
      </c>
      <c r="B61" t="s">
        <v>11</v>
      </c>
      <c r="C61">
        <v>53813.738799999701</v>
      </c>
      <c r="D61">
        <v>1086855.0801000004</v>
      </c>
      <c r="E61">
        <v>2339</v>
      </c>
      <c r="F61">
        <v>77</v>
      </c>
      <c r="G61">
        <v>1486992.6382999995</v>
      </c>
      <c r="H61">
        <f t="shared" si="0"/>
        <v>2627661.4571999996</v>
      </c>
    </row>
    <row r="62" spans="1:9" x14ac:dyDescent="0.25">
      <c r="A62" t="s">
        <v>29</v>
      </c>
      <c r="B62" t="s">
        <v>12</v>
      </c>
      <c r="C62">
        <v>50128.200599999749</v>
      </c>
      <c r="D62">
        <v>889933.30099999986</v>
      </c>
      <c r="E62">
        <v>2154</v>
      </c>
      <c r="F62">
        <v>72</v>
      </c>
      <c r="G62">
        <v>1193823.8696000001</v>
      </c>
      <c r="H62">
        <f t="shared" si="0"/>
        <v>2133885.3711999999</v>
      </c>
    </row>
    <row r="63" spans="1:9" x14ac:dyDescent="0.25">
      <c r="A63" t="s">
        <v>29</v>
      </c>
      <c r="B63" t="s">
        <v>13</v>
      </c>
      <c r="C63">
        <v>257368.36060000048</v>
      </c>
      <c r="D63">
        <v>1960632.7407999998</v>
      </c>
      <c r="E63">
        <v>5544</v>
      </c>
      <c r="F63">
        <v>186</v>
      </c>
      <c r="G63">
        <v>2121971.8192999996</v>
      </c>
      <c r="H63">
        <f t="shared" si="0"/>
        <v>4339972.9206999997</v>
      </c>
    </row>
    <row r="64" spans="1:9" x14ac:dyDescent="0.25">
      <c r="A64" t="s">
        <v>29</v>
      </c>
      <c r="B64" t="s">
        <v>14</v>
      </c>
      <c r="C64">
        <v>3448.8500000000058</v>
      </c>
      <c r="D64">
        <v>185970.75000000003</v>
      </c>
      <c r="E64">
        <v>448</v>
      </c>
      <c r="F64">
        <v>15</v>
      </c>
      <c r="G64">
        <v>190508.13970000003</v>
      </c>
      <c r="H64">
        <f t="shared" si="0"/>
        <v>379927.73970000003</v>
      </c>
    </row>
    <row r="65" spans="1:9" x14ac:dyDescent="0.25">
      <c r="A65" t="s">
        <v>29</v>
      </c>
      <c r="B65" t="s">
        <v>15</v>
      </c>
      <c r="C65">
        <v>4974.2504999999946</v>
      </c>
      <c r="D65">
        <v>162010.01979999998</v>
      </c>
      <c r="E65">
        <v>563</v>
      </c>
      <c r="F65">
        <v>19</v>
      </c>
      <c r="G65">
        <v>179742.32989999998</v>
      </c>
      <c r="H65">
        <f t="shared" si="0"/>
        <v>346726.60019999999</v>
      </c>
    </row>
    <row r="66" spans="1:9" x14ac:dyDescent="0.25">
      <c r="A66" t="s">
        <v>29</v>
      </c>
      <c r="B66" t="s">
        <v>16</v>
      </c>
      <c r="C66">
        <v>6122.7602000000188</v>
      </c>
      <c r="D66">
        <v>301481.44899999991</v>
      </c>
      <c r="E66">
        <v>629</v>
      </c>
      <c r="F66">
        <v>21</v>
      </c>
      <c r="G66">
        <v>290310.62039999996</v>
      </c>
      <c r="H66">
        <f t="shared" si="0"/>
        <v>597914.82959999982</v>
      </c>
    </row>
    <row r="67" spans="1:9" x14ac:dyDescent="0.25">
      <c r="A67" t="s">
        <v>29</v>
      </c>
      <c r="B67" t="s">
        <v>17</v>
      </c>
      <c r="C67">
        <v>10940.1103</v>
      </c>
      <c r="D67">
        <v>163827.55009999999</v>
      </c>
      <c r="E67">
        <v>438</v>
      </c>
      <c r="F67">
        <v>15</v>
      </c>
      <c r="G67">
        <v>161853.5999</v>
      </c>
      <c r="H67">
        <f t="shared" ref="H67:H130" si="1">+D67+C67+G67</f>
        <v>336621.26029999997</v>
      </c>
    </row>
    <row r="68" spans="1:9" x14ac:dyDescent="0.25">
      <c r="A68" t="s">
        <v>29</v>
      </c>
      <c r="B68" t="s">
        <v>18</v>
      </c>
      <c r="C68">
        <v>166968.58070000028</v>
      </c>
      <c r="D68">
        <v>2147925.4586</v>
      </c>
      <c r="E68">
        <v>3115</v>
      </c>
      <c r="F68">
        <v>103</v>
      </c>
      <c r="G68">
        <v>2350479.8965000007</v>
      </c>
      <c r="H68">
        <f t="shared" si="1"/>
        <v>4665373.935800001</v>
      </c>
    </row>
    <row r="69" spans="1:9" x14ac:dyDescent="0.25">
      <c r="A69" t="s">
        <v>29</v>
      </c>
      <c r="B69" t="s">
        <v>19</v>
      </c>
      <c r="C69">
        <v>2231.4095999999554</v>
      </c>
      <c r="D69">
        <v>312064.52010000002</v>
      </c>
      <c r="E69">
        <v>988</v>
      </c>
      <c r="F69">
        <v>33</v>
      </c>
      <c r="G69">
        <v>382932.73989999999</v>
      </c>
      <c r="H69">
        <f t="shared" si="1"/>
        <v>697228.66959999991</v>
      </c>
    </row>
    <row r="70" spans="1:9" x14ac:dyDescent="0.25">
      <c r="A70" t="s">
        <v>29</v>
      </c>
      <c r="B70" t="s">
        <v>20</v>
      </c>
      <c r="C70">
        <v>82429.280099999916</v>
      </c>
      <c r="D70">
        <v>458600.48</v>
      </c>
      <c r="E70">
        <v>1193</v>
      </c>
      <c r="F70">
        <v>40</v>
      </c>
      <c r="G70">
        <v>523115.82999999996</v>
      </c>
      <c r="H70">
        <f t="shared" si="1"/>
        <v>1064145.5900999997</v>
      </c>
    </row>
    <row r="71" spans="1:9" x14ac:dyDescent="0.25">
      <c r="A71" t="s">
        <v>29</v>
      </c>
      <c r="B71" t="s">
        <v>21</v>
      </c>
      <c r="C71">
        <v>13517.810000000027</v>
      </c>
      <c r="D71">
        <v>227573.2898</v>
      </c>
      <c r="E71">
        <v>539</v>
      </c>
      <c r="F71">
        <v>18</v>
      </c>
      <c r="G71">
        <v>306113.65980000002</v>
      </c>
      <c r="H71">
        <f t="shared" si="1"/>
        <v>547204.75959999999</v>
      </c>
    </row>
    <row r="72" spans="1:9" x14ac:dyDescent="0.25">
      <c r="A72" t="s">
        <v>29</v>
      </c>
      <c r="B72" t="s">
        <v>22</v>
      </c>
      <c r="C72">
        <v>13929.25989999983</v>
      </c>
      <c r="D72">
        <v>805444.2808999999</v>
      </c>
      <c r="E72">
        <v>1058</v>
      </c>
      <c r="F72">
        <v>33</v>
      </c>
      <c r="G72">
        <v>896575.06019999995</v>
      </c>
      <c r="H72">
        <f t="shared" si="1"/>
        <v>1715948.6009999998</v>
      </c>
    </row>
    <row r="73" spans="1:9" x14ac:dyDescent="0.25">
      <c r="A73" t="s">
        <v>29</v>
      </c>
      <c r="B73" t="s">
        <v>23</v>
      </c>
      <c r="C73">
        <v>80075.641199999838</v>
      </c>
      <c r="D73">
        <v>644063.61950000003</v>
      </c>
      <c r="E73">
        <v>659</v>
      </c>
      <c r="F73">
        <v>22</v>
      </c>
      <c r="G73">
        <v>687818.43910000008</v>
      </c>
      <c r="H73">
        <f t="shared" si="1"/>
        <v>1411957.6998000001</v>
      </c>
    </row>
    <row r="74" spans="1:9" s="1" customFormat="1" x14ac:dyDescent="0.25">
      <c r="A74" s="1" t="s">
        <v>30</v>
      </c>
      <c r="B74" s="1" t="s">
        <v>0</v>
      </c>
      <c r="C74" s="1">
        <v>246222.23989999993</v>
      </c>
      <c r="D74" s="1">
        <v>1761915.4098000003</v>
      </c>
      <c r="E74" s="1">
        <v>1554</v>
      </c>
      <c r="F74" s="1">
        <v>19</v>
      </c>
      <c r="G74" s="1">
        <v>1674078.45</v>
      </c>
      <c r="H74" s="1">
        <f t="shared" si="1"/>
        <v>3682216.0997000001</v>
      </c>
      <c r="I74"/>
    </row>
    <row r="75" spans="1:9" x14ac:dyDescent="0.25">
      <c r="A75" t="s">
        <v>30</v>
      </c>
      <c r="B75" t="s">
        <v>1</v>
      </c>
      <c r="C75">
        <v>162842.5</v>
      </c>
      <c r="D75">
        <v>384539.7598</v>
      </c>
      <c r="E75">
        <v>668</v>
      </c>
      <c r="F75">
        <v>9</v>
      </c>
      <c r="G75">
        <v>586693.49989999994</v>
      </c>
      <c r="H75">
        <f t="shared" si="1"/>
        <v>1134075.7596999998</v>
      </c>
    </row>
    <row r="76" spans="1:9" x14ac:dyDescent="0.25">
      <c r="A76" t="s">
        <v>30</v>
      </c>
      <c r="B76" t="s">
        <v>2</v>
      </c>
      <c r="C76">
        <v>107888.7298999998</v>
      </c>
      <c r="D76">
        <v>1078285.3300999999</v>
      </c>
      <c r="E76">
        <v>254</v>
      </c>
      <c r="F76">
        <v>7</v>
      </c>
      <c r="G76">
        <v>860719.69</v>
      </c>
      <c r="H76">
        <f t="shared" si="1"/>
        <v>2046893.7499999995</v>
      </c>
    </row>
    <row r="77" spans="1:9" x14ac:dyDescent="0.25">
      <c r="A77" t="s">
        <v>30</v>
      </c>
      <c r="B77" t="s">
        <v>3</v>
      </c>
      <c r="C77">
        <v>53837.580000000016</v>
      </c>
      <c r="D77">
        <v>158201.56999999998</v>
      </c>
      <c r="E77">
        <v>778</v>
      </c>
      <c r="F77">
        <v>6</v>
      </c>
      <c r="G77">
        <v>203810.18</v>
      </c>
      <c r="H77">
        <f t="shared" si="1"/>
        <v>415849.32999999996</v>
      </c>
    </row>
    <row r="78" spans="1:9" x14ac:dyDescent="0.25">
      <c r="A78" t="s">
        <v>30</v>
      </c>
      <c r="B78" t="s">
        <v>4</v>
      </c>
      <c r="C78">
        <v>54064.520299999742</v>
      </c>
      <c r="D78">
        <v>1102083.8995000001</v>
      </c>
      <c r="E78">
        <v>1064</v>
      </c>
      <c r="F78">
        <v>14</v>
      </c>
      <c r="G78">
        <v>933325.47039999987</v>
      </c>
      <c r="H78">
        <f t="shared" si="1"/>
        <v>2089473.8901999998</v>
      </c>
    </row>
    <row r="79" spans="1:9" x14ac:dyDescent="0.25">
      <c r="A79" t="s">
        <v>30</v>
      </c>
      <c r="B79" t="s">
        <v>5</v>
      </c>
      <c r="C79">
        <v>45941.219899999909</v>
      </c>
      <c r="D79">
        <v>654178.4497</v>
      </c>
      <c r="E79">
        <v>1483</v>
      </c>
      <c r="F79">
        <v>14</v>
      </c>
      <c r="G79">
        <v>482316.44980000006</v>
      </c>
      <c r="H79">
        <f t="shared" si="1"/>
        <v>1182436.1194</v>
      </c>
    </row>
    <row r="80" spans="1:9" x14ac:dyDescent="0.25">
      <c r="A80" t="s">
        <v>30</v>
      </c>
      <c r="B80" t="s">
        <v>6</v>
      </c>
      <c r="C80">
        <v>539022.40989999985</v>
      </c>
      <c r="D80">
        <v>1886680.8204000001</v>
      </c>
      <c r="E80">
        <v>2463</v>
      </c>
      <c r="F80">
        <v>25</v>
      </c>
      <c r="G80">
        <v>1669129.2899</v>
      </c>
      <c r="H80">
        <f t="shared" si="1"/>
        <v>4094832.5202000001</v>
      </c>
    </row>
    <row r="81" spans="1:8" x14ac:dyDescent="0.25">
      <c r="A81" t="s">
        <v>30</v>
      </c>
      <c r="B81" t="s">
        <v>7</v>
      </c>
      <c r="C81">
        <v>293591.19440000004</v>
      </c>
      <c r="D81">
        <v>981343.46159999992</v>
      </c>
      <c r="E81">
        <v>1118</v>
      </c>
      <c r="F81">
        <v>13</v>
      </c>
      <c r="G81">
        <v>1108297.0882999999</v>
      </c>
      <c r="H81">
        <f t="shared" si="1"/>
        <v>2383231.7442999999</v>
      </c>
    </row>
    <row r="82" spans="1:8" x14ac:dyDescent="0.25">
      <c r="A82" t="s">
        <v>30</v>
      </c>
      <c r="B82" s="1" t="s">
        <v>8</v>
      </c>
      <c r="C82" s="1">
        <v>3515.14</v>
      </c>
      <c r="D82" s="1">
        <v>11966.31</v>
      </c>
      <c r="E82" s="1">
        <v>25</v>
      </c>
      <c r="F82" s="1">
        <v>1</v>
      </c>
      <c r="G82" s="1">
        <v>25688.880000000001</v>
      </c>
      <c r="H82">
        <f t="shared" si="1"/>
        <v>41170.33</v>
      </c>
    </row>
    <row r="83" spans="1:8" x14ac:dyDescent="0.25">
      <c r="A83" t="s">
        <v>30</v>
      </c>
      <c r="B83" t="s">
        <v>9</v>
      </c>
      <c r="C83">
        <v>1122197.9501000009</v>
      </c>
      <c r="D83">
        <v>4241388.6700999998</v>
      </c>
      <c r="E83">
        <v>4562</v>
      </c>
      <c r="F83">
        <v>65</v>
      </c>
      <c r="G83">
        <v>4903526.5699000005</v>
      </c>
      <c r="H83">
        <f t="shared" si="1"/>
        <v>10267113.190100001</v>
      </c>
    </row>
    <row r="84" spans="1:8" x14ac:dyDescent="0.25">
      <c r="A84" t="s">
        <v>30</v>
      </c>
      <c r="B84" t="s">
        <v>10</v>
      </c>
      <c r="C84">
        <v>301156.14570000046</v>
      </c>
      <c r="D84">
        <v>1280002.5984999998</v>
      </c>
      <c r="E84">
        <v>1080</v>
      </c>
      <c r="F84">
        <v>15</v>
      </c>
      <c r="G84">
        <v>769016.27179999999</v>
      </c>
      <c r="H84">
        <f t="shared" si="1"/>
        <v>2350175.0160000003</v>
      </c>
    </row>
    <row r="85" spans="1:8" x14ac:dyDescent="0.25">
      <c r="A85" t="s">
        <v>30</v>
      </c>
      <c r="B85" t="s">
        <v>11</v>
      </c>
      <c r="C85">
        <v>496298.16999999969</v>
      </c>
      <c r="D85">
        <v>1849630.9604</v>
      </c>
      <c r="E85">
        <v>1254</v>
      </c>
      <c r="F85">
        <v>23</v>
      </c>
      <c r="G85">
        <v>1809645.3199</v>
      </c>
      <c r="H85">
        <f t="shared" si="1"/>
        <v>4155574.4502999997</v>
      </c>
    </row>
    <row r="86" spans="1:8" x14ac:dyDescent="0.25">
      <c r="A86" t="s">
        <v>30</v>
      </c>
      <c r="B86" t="s">
        <v>12</v>
      </c>
      <c r="C86">
        <v>50834.660099999979</v>
      </c>
      <c r="D86">
        <v>851978.45990000002</v>
      </c>
      <c r="E86">
        <v>946</v>
      </c>
      <c r="F86">
        <v>13</v>
      </c>
      <c r="G86">
        <v>1003498.1202</v>
      </c>
      <c r="H86">
        <f t="shared" si="1"/>
        <v>1906311.2401999999</v>
      </c>
    </row>
    <row r="87" spans="1:8" x14ac:dyDescent="0.25">
      <c r="A87" t="s">
        <v>30</v>
      </c>
      <c r="B87" t="s">
        <v>13</v>
      </c>
      <c r="C87">
        <v>451968.42980000004</v>
      </c>
      <c r="D87">
        <v>1230480.4201999998</v>
      </c>
      <c r="E87">
        <v>2476</v>
      </c>
      <c r="F87">
        <v>19</v>
      </c>
      <c r="G87">
        <v>1447014.4500999998</v>
      </c>
      <c r="H87">
        <f t="shared" si="1"/>
        <v>3129463.3000999996</v>
      </c>
    </row>
    <row r="88" spans="1:8" x14ac:dyDescent="0.25">
      <c r="A88" t="s">
        <v>30</v>
      </c>
      <c r="B88" t="s">
        <v>14</v>
      </c>
      <c r="C88">
        <v>52093.049999999988</v>
      </c>
      <c r="D88">
        <v>330188.57999999996</v>
      </c>
      <c r="E88">
        <v>131</v>
      </c>
      <c r="F88">
        <v>2</v>
      </c>
      <c r="G88">
        <v>294768.99</v>
      </c>
      <c r="H88">
        <f t="shared" si="1"/>
        <v>677050.61999999988</v>
      </c>
    </row>
    <row r="89" spans="1:8" x14ac:dyDescent="0.25">
      <c r="A89" t="s">
        <v>30</v>
      </c>
      <c r="B89" t="s">
        <v>15</v>
      </c>
      <c r="C89">
        <v>57925.550000000047</v>
      </c>
      <c r="D89">
        <v>429207.17</v>
      </c>
      <c r="E89">
        <v>159</v>
      </c>
      <c r="F89">
        <v>3</v>
      </c>
      <c r="G89">
        <v>384602.11</v>
      </c>
      <c r="H89">
        <f t="shared" si="1"/>
        <v>871734.83000000007</v>
      </c>
    </row>
    <row r="90" spans="1:8" x14ac:dyDescent="0.25">
      <c r="A90" t="s">
        <v>30</v>
      </c>
      <c r="B90" t="s">
        <v>16</v>
      </c>
      <c r="C90">
        <v>11002.589999999982</v>
      </c>
      <c r="D90">
        <v>130482.96</v>
      </c>
      <c r="E90">
        <v>185</v>
      </c>
      <c r="F90">
        <v>3</v>
      </c>
      <c r="G90">
        <v>166202.10999999999</v>
      </c>
      <c r="H90">
        <f t="shared" si="1"/>
        <v>307687.65999999997</v>
      </c>
    </row>
    <row r="91" spans="1:8" x14ac:dyDescent="0.25">
      <c r="A91" t="s">
        <v>30</v>
      </c>
      <c r="B91" t="s">
        <v>17</v>
      </c>
      <c r="C91">
        <v>60253.479900000035</v>
      </c>
      <c r="D91">
        <v>298608.56</v>
      </c>
      <c r="E91">
        <v>239</v>
      </c>
      <c r="F91">
        <v>3</v>
      </c>
      <c r="G91">
        <v>244390.27000000002</v>
      </c>
      <c r="H91">
        <f t="shared" si="1"/>
        <v>603252.30989999999</v>
      </c>
    </row>
    <row r="92" spans="1:8" x14ac:dyDescent="0.25">
      <c r="A92" t="s">
        <v>30</v>
      </c>
      <c r="B92" t="s">
        <v>18</v>
      </c>
      <c r="C92">
        <v>755285.2733000014</v>
      </c>
      <c r="D92">
        <v>5350664.1584999999</v>
      </c>
      <c r="E92">
        <v>6025</v>
      </c>
      <c r="F92">
        <v>65</v>
      </c>
      <c r="G92">
        <v>5539240.4969000006</v>
      </c>
      <c r="H92">
        <f t="shared" si="1"/>
        <v>11645189.928700002</v>
      </c>
    </row>
    <row r="93" spans="1:8" x14ac:dyDescent="0.25">
      <c r="A93" t="s">
        <v>30</v>
      </c>
      <c r="B93" t="s">
        <v>19</v>
      </c>
      <c r="C93">
        <v>196208.19010000012</v>
      </c>
      <c r="D93">
        <v>728311.78989999997</v>
      </c>
      <c r="E93">
        <v>558</v>
      </c>
      <c r="F93">
        <v>5</v>
      </c>
      <c r="G93">
        <v>640726.68989999988</v>
      </c>
      <c r="H93">
        <f t="shared" si="1"/>
        <v>1565246.6699000001</v>
      </c>
    </row>
    <row r="94" spans="1:8" x14ac:dyDescent="0.25">
      <c r="A94" t="s">
        <v>30</v>
      </c>
      <c r="B94" t="s">
        <v>20</v>
      </c>
      <c r="C94">
        <v>407134.21989999968</v>
      </c>
      <c r="D94">
        <v>1496399.9101</v>
      </c>
      <c r="E94">
        <v>661</v>
      </c>
      <c r="F94">
        <v>14</v>
      </c>
      <c r="G94">
        <v>1195428.0900000001</v>
      </c>
      <c r="H94">
        <f t="shared" si="1"/>
        <v>3098962.2199999997</v>
      </c>
    </row>
    <row r="95" spans="1:8" x14ac:dyDescent="0.25">
      <c r="A95" t="s">
        <v>30</v>
      </c>
      <c r="B95" t="s">
        <v>21</v>
      </c>
      <c r="C95">
        <v>20473.190000000002</v>
      </c>
      <c r="D95">
        <v>170495.65999999997</v>
      </c>
      <c r="E95">
        <v>654</v>
      </c>
      <c r="F95">
        <v>4</v>
      </c>
      <c r="G95">
        <v>168357.87000000002</v>
      </c>
      <c r="H95">
        <f t="shared" si="1"/>
        <v>359326.71999999997</v>
      </c>
    </row>
    <row r="96" spans="1:8" x14ac:dyDescent="0.25">
      <c r="A96" t="s">
        <v>30</v>
      </c>
      <c r="B96" t="s">
        <v>22</v>
      </c>
      <c r="C96">
        <v>287325.39979999978</v>
      </c>
      <c r="D96">
        <v>1373006.47</v>
      </c>
      <c r="E96">
        <v>1776</v>
      </c>
      <c r="F96">
        <v>21</v>
      </c>
      <c r="G96">
        <v>1353395.3102000002</v>
      </c>
      <c r="H96">
        <f t="shared" si="1"/>
        <v>3013727.1799999997</v>
      </c>
    </row>
    <row r="97" spans="1:9" x14ac:dyDescent="0.25">
      <c r="A97" t="s">
        <v>30</v>
      </c>
      <c r="B97" t="s">
        <v>23</v>
      </c>
      <c r="C97">
        <v>40548.599999999919</v>
      </c>
      <c r="D97">
        <v>305293.53000000003</v>
      </c>
      <c r="E97">
        <v>241</v>
      </c>
      <c r="F97">
        <v>5</v>
      </c>
      <c r="G97">
        <v>478617.23</v>
      </c>
      <c r="H97">
        <f t="shared" si="1"/>
        <v>824459.35999999987</v>
      </c>
    </row>
    <row r="98" spans="1:9" s="1" customFormat="1" x14ac:dyDescent="0.25">
      <c r="A98" s="1" t="s">
        <v>37</v>
      </c>
      <c r="B98" s="1" t="s">
        <v>0</v>
      </c>
      <c r="C98" s="1">
        <v>113054.35843649133</v>
      </c>
      <c r="D98" s="1">
        <v>1908827.1359999999</v>
      </c>
      <c r="E98" s="1">
        <v>4302</v>
      </c>
      <c r="F98" s="1">
        <v>0</v>
      </c>
      <c r="G98" s="1">
        <v>2614455.5029999996</v>
      </c>
      <c r="H98" s="1">
        <f t="shared" si="1"/>
        <v>4636336.9974364908</v>
      </c>
      <c r="I98"/>
    </row>
    <row r="99" spans="1:9" x14ac:dyDescent="0.25">
      <c r="A99" t="s">
        <v>37</v>
      </c>
      <c r="B99" t="s">
        <v>1</v>
      </c>
      <c r="C99">
        <v>62110.110499060058</v>
      </c>
      <c r="D99">
        <v>1098765.3160000001</v>
      </c>
      <c r="E99">
        <v>2603</v>
      </c>
      <c r="F99">
        <v>0</v>
      </c>
      <c r="G99">
        <v>1581921.8189999999</v>
      </c>
      <c r="H99">
        <f t="shared" si="1"/>
        <v>2742797.24549906</v>
      </c>
    </row>
    <row r="100" spans="1:9" x14ac:dyDescent="0.25">
      <c r="A100" t="s">
        <v>37</v>
      </c>
      <c r="B100" t="s">
        <v>2</v>
      </c>
      <c r="C100">
        <v>51595.589920192957</v>
      </c>
      <c r="D100">
        <v>929561.80299999996</v>
      </c>
      <c r="E100">
        <v>2049</v>
      </c>
      <c r="F100">
        <v>0</v>
      </c>
      <c r="G100">
        <v>1245239.267</v>
      </c>
      <c r="H100">
        <f t="shared" si="1"/>
        <v>2226396.6599201928</v>
      </c>
    </row>
    <row r="101" spans="1:9" x14ac:dyDescent="0.25">
      <c r="A101" t="s">
        <v>37</v>
      </c>
      <c r="B101" t="s">
        <v>3</v>
      </c>
      <c r="C101">
        <v>41406.7403327067</v>
      </c>
      <c r="D101">
        <v>699022.01800000016</v>
      </c>
      <c r="E101">
        <v>1606</v>
      </c>
      <c r="F101">
        <v>0</v>
      </c>
      <c r="G101">
        <v>976014.77100000007</v>
      </c>
      <c r="H101">
        <f t="shared" si="1"/>
        <v>1716443.5293327069</v>
      </c>
    </row>
    <row r="102" spans="1:9" x14ac:dyDescent="0.25">
      <c r="A102" t="s">
        <v>37</v>
      </c>
      <c r="B102" t="s">
        <v>4</v>
      </c>
      <c r="C102">
        <v>105052.15693399071</v>
      </c>
      <c r="D102">
        <v>1819466.5330000001</v>
      </c>
      <c r="E102">
        <v>4440</v>
      </c>
      <c r="F102">
        <v>0</v>
      </c>
      <c r="G102">
        <v>2698322.273</v>
      </c>
      <c r="H102">
        <f t="shared" si="1"/>
        <v>4622840.9629339911</v>
      </c>
    </row>
    <row r="103" spans="1:9" x14ac:dyDescent="0.25">
      <c r="A103" t="s">
        <v>37</v>
      </c>
      <c r="B103" t="s">
        <v>5</v>
      </c>
      <c r="C103">
        <v>136595.718670592</v>
      </c>
      <c r="D103">
        <v>2347698.7459999998</v>
      </c>
      <c r="E103">
        <v>5215</v>
      </c>
      <c r="F103">
        <v>0</v>
      </c>
      <c r="G103">
        <v>3169313.2130000005</v>
      </c>
      <c r="H103">
        <f t="shared" si="1"/>
        <v>5653607.6776705924</v>
      </c>
    </row>
    <row r="104" spans="1:9" x14ac:dyDescent="0.25">
      <c r="A104" t="s">
        <v>37</v>
      </c>
      <c r="B104" t="s">
        <v>6</v>
      </c>
      <c r="C104">
        <v>149994.75374454653</v>
      </c>
      <c r="D104">
        <v>2685577.0150000006</v>
      </c>
      <c r="E104">
        <v>6291</v>
      </c>
      <c r="F104">
        <v>0</v>
      </c>
      <c r="G104">
        <v>3823230.9540000018</v>
      </c>
      <c r="H104">
        <f t="shared" si="1"/>
        <v>6658802.7227445487</v>
      </c>
    </row>
    <row r="105" spans="1:9" x14ac:dyDescent="0.25">
      <c r="A105" t="s">
        <v>37</v>
      </c>
      <c r="B105" t="s">
        <v>7</v>
      </c>
      <c r="C105">
        <v>233040.85654666054</v>
      </c>
      <c r="D105">
        <v>4329494.898</v>
      </c>
      <c r="E105">
        <v>10339</v>
      </c>
      <c r="F105">
        <v>0</v>
      </c>
      <c r="G105">
        <v>6283322.977</v>
      </c>
      <c r="H105">
        <f t="shared" si="1"/>
        <v>10845858.731546661</v>
      </c>
    </row>
    <row r="106" spans="1:9" x14ac:dyDescent="0.25">
      <c r="A106" t="s">
        <v>37</v>
      </c>
      <c r="B106" t="s">
        <v>8</v>
      </c>
      <c r="C106">
        <v>279.14656404071934</v>
      </c>
      <c r="D106">
        <v>4230.0879999999997</v>
      </c>
      <c r="E106">
        <v>16</v>
      </c>
      <c r="F106">
        <v>0</v>
      </c>
      <c r="G106">
        <v>9723.6820000000007</v>
      </c>
      <c r="H106">
        <f t="shared" si="1"/>
        <v>14232.916564040719</v>
      </c>
    </row>
    <row r="107" spans="1:9" x14ac:dyDescent="0.25">
      <c r="A107" t="s">
        <v>37</v>
      </c>
      <c r="B107" t="s">
        <v>9</v>
      </c>
      <c r="C107">
        <v>934489.6475536481</v>
      </c>
      <c r="D107">
        <v>17619902.102999996</v>
      </c>
      <c r="E107">
        <v>40888</v>
      </c>
      <c r="F107">
        <v>0</v>
      </c>
      <c r="G107">
        <v>24848874.153999999</v>
      </c>
      <c r="H107">
        <f t="shared" si="1"/>
        <v>43403265.904553644</v>
      </c>
    </row>
    <row r="108" spans="1:9" x14ac:dyDescent="0.25">
      <c r="A108" t="s">
        <v>37</v>
      </c>
      <c r="B108" t="s">
        <v>10</v>
      </c>
      <c r="C108">
        <v>112170.39431702904</v>
      </c>
      <c r="D108">
        <v>1964347.0410000004</v>
      </c>
      <c r="E108">
        <v>4332</v>
      </c>
      <c r="F108">
        <v>0</v>
      </c>
      <c r="G108">
        <v>2632687.4109999994</v>
      </c>
      <c r="H108">
        <f t="shared" si="1"/>
        <v>4709204.8463170286</v>
      </c>
    </row>
    <row r="109" spans="1:9" x14ac:dyDescent="0.25">
      <c r="A109" t="s">
        <v>37</v>
      </c>
      <c r="B109" t="s">
        <v>11</v>
      </c>
      <c r="C109">
        <v>110681.61264214522</v>
      </c>
      <c r="D109">
        <v>2042074.9130000004</v>
      </c>
      <c r="E109">
        <v>4720</v>
      </c>
      <c r="F109">
        <v>0</v>
      </c>
      <c r="G109">
        <v>2868486.7439999999</v>
      </c>
      <c r="H109">
        <f t="shared" si="1"/>
        <v>5021243.2696421454</v>
      </c>
    </row>
    <row r="110" spans="1:9" x14ac:dyDescent="0.25">
      <c r="A110" t="s">
        <v>37</v>
      </c>
      <c r="B110" t="s">
        <v>12</v>
      </c>
      <c r="C110">
        <v>308270.85555563436</v>
      </c>
      <c r="D110">
        <v>6024702.5929999994</v>
      </c>
      <c r="E110">
        <v>14024</v>
      </c>
      <c r="F110">
        <v>0</v>
      </c>
      <c r="G110">
        <v>8522808.9200000018</v>
      </c>
      <c r="H110">
        <f t="shared" si="1"/>
        <v>14855782.368555635</v>
      </c>
    </row>
    <row r="111" spans="1:9" x14ac:dyDescent="0.25">
      <c r="A111" t="s">
        <v>37</v>
      </c>
      <c r="B111" t="s">
        <v>13</v>
      </c>
      <c r="C111">
        <v>500649.36260703014</v>
      </c>
      <c r="D111">
        <v>9574803.811999999</v>
      </c>
      <c r="E111">
        <v>22110</v>
      </c>
      <c r="F111">
        <v>0</v>
      </c>
      <c r="G111">
        <v>13436915.658999994</v>
      </c>
      <c r="H111">
        <f t="shared" si="1"/>
        <v>23512368.833607025</v>
      </c>
    </row>
    <row r="112" spans="1:9" x14ac:dyDescent="0.25">
      <c r="A112" t="s">
        <v>37</v>
      </c>
      <c r="B112" t="s">
        <v>14</v>
      </c>
      <c r="C112">
        <v>76811.829538537932</v>
      </c>
      <c r="D112">
        <v>1483703.3119999999</v>
      </c>
      <c r="E112">
        <v>3357</v>
      </c>
      <c r="F112">
        <v>0</v>
      </c>
      <c r="G112">
        <v>2040150.42</v>
      </c>
      <c r="H112">
        <f t="shared" si="1"/>
        <v>3600665.561538538</v>
      </c>
    </row>
    <row r="113" spans="1:9" x14ac:dyDescent="0.25">
      <c r="A113" t="s">
        <v>37</v>
      </c>
      <c r="B113" t="s">
        <v>15</v>
      </c>
      <c r="C113">
        <v>86814.581416663714</v>
      </c>
      <c r="D113">
        <v>1507497.5510000007</v>
      </c>
      <c r="E113">
        <v>2836</v>
      </c>
      <c r="F113">
        <v>0</v>
      </c>
      <c r="G113">
        <v>1723522.969</v>
      </c>
      <c r="H113">
        <f t="shared" si="1"/>
        <v>3317835.1014166642</v>
      </c>
    </row>
    <row r="114" spans="1:9" x14ac:dyDescent="0.25">
      <c r="A114" t="s">
        <v>37</v>
      </c>
      <c r="B114" t="s">
        <v>16</v>
      </c>
      <c r="C114">
        <v>60900.475388216939</v>
      </c>
      <c r="D114">
        <v>1260037.4129999997</v>
      </c>
      <c r="E114">
        <v>3067</v>
      </c>
      <c r="F114">
        <v>0</v>
      </c>
      <c r="G114">
        <v>1863908.6509999996</v>
      </c>
      <c r="H114">
        <f t="shared" si="1"/>
        <v>3184846.5393882161</v>
      </c>
    </row>
    <row r="115" spans="1:9" x14ac:dyDescent="0.25">
      <c r="A115" t="s">
        <v>37</v>
      </c>
      <c r="B115" t="s">
        <v>17</v>
      </c>
      <c r="C115">
        <v>49036.746416486363</v>
      </c>
      <c r="D115">
        <v>953884.80500000005</v>
      </c>
      <c r="E115">
        <v>2024</v>
      </c>
      <c r="F115">
        <v>0</v>
      </c>
      <c r="G115">
        <v>1230046.0119999999</v>
      </c>
      <c r="H115">
        <f t="shared" si="1"/>
        <v>2232967.5634164861</v>
      </c>
    </row>
    <row r="116" spans="1:9" x14ac:dyDescent="0.25">
      <c r="A116" t="s">
        <v>37</v>
      </c>
      <c r="B116" t="s">
        <v>18</v>
      </c>
      <c r="C116">
        <v>304734.99907778524</v>
      </c>
      <c r="D116">
        <v>5859729.1709999992</v>
      </c>
      <c r="E116">
        <v>13569</v>
      </c>
      <c r="F116">
        <v>0</v>
      </c>
      <c r="G116">
        <v>8246291.6549999993</v>
      </c>
      <c r="H116">
        <f t="shared" si="1"/>
        <v>14410755.825077783</v>
      </c>
    </row>
    <row r="117" spans="1:9" x14ac:dyDescent="0.25">
      <c r="A117" t="s">
        <v>37</v>
      </c>
      <c r="B117" t="s">
        <v>19</v>
      </c>
      <c r="C117">
        <v>154786.76976057887</v>
      </c>
      <c r="D117">
        <v>2713072.5819999999</v>
      </c>
      <c r="E117">
        <v>5771</v>
      </c>
      <c r="F117">
        <v>0</v>
      </c>
      <c r="G117">
        <v>3507211.2300000004</v>
      </c>
      <c r="H117">
        <f t="shared" si="1"/>
        <v>6375070.5817605797</v>
      </c>
    </row>
    <row r="118" spans="1:9" x14ac:dyDescent="0.25">
      <c r="A118" t="s">
        <v>37</v>
      </c>
      <c r="B118" t="s">
        <v>20</v>
      </c>
      <c r="C118">
        <v>132966.81333806264</v>
      </c>
      <c r="D118">
        <v>2570307.12</v>
      </c>
      <c r="E118">
        <v>5494</v>
      </c>
      <c r="F118">
        <v>0</v>
      </c>
      <c r="G118">
        <v>3338869.9519999996</v>
      </c>
      <c r="H118">
        <f t="shared" si="1"/>
        <v>6042143.8853380624</v>
      </c>
    </row>
    <row r="119" spans="1:9" x14ac:dyDescent="0.25">
      <c r="A119" t="s">
        <v>37</v>
      </c>
      <c r="B119" t="s">
        <v>21</v>
      </c>
      <c r="C119">
        <v>71089.324975703188</v>
      </c>
      <c r="D119">
        <v>1394871.4610000004</v>
      </c>
      <c r="E119">
        <v>3329</v>
      </c>
      <c r="F119">
        <v>0</v>
      </c>
      <c r="G119">
        <v>2023133.9780000004</v>
      </c>
      <c r="H119">
        <f t="shared" si="1"/>
        <v>3489094.7639757041</v>
      </c>
    </row>
    <row r="120" spans="1:9" x14ac:dyDescent="0.25">
      <c r="A120" t="s">
        <v>37</v>
      </c>
      <c r="B120" t="s">
        <v>22</v>
      </c>
      <c r="C120">
        <v>84627.933331678083</v>
      </c>
      <c r="D120">
        <v>1563546.2169999997</v>
      </c>
      <c r="E120">
        <v>3723</v>
      </c>
      <c r="F120">
        <v>0</v>
      </c>
      <c r="G120">
        <v>2262579.6910000001</v>
      </c>
      <c r="H120">
        <f t="shared" si="1"/>
        <v>3910753.841331678</v>
      </c>
    </row>
    <row r="121" spans="1:9" x14ac:dyDescent="0.25">
      <c r="A121" t="s">
        <v>37</v>
      </c>
      <c r="B121" t="s">
        <v>23</v>
      </c>
      <c r="C121">
        <v>49455.466262547438</v>
      </c>
      <c r="D121">
        <v>815878.19400000002</v>
      </c>
      <c r="E121">
        <v>1755</v>
      </c>
      <c r="F121">
        <v>0</v>
      </c>
      <c r="G121">
        <v>1066566.5769999998</v>
      </c>
      <c r="H121">
        <f t="shared" si="1"/>
        <v>1931900.2372625472</v>
      </c>
    </row>
    <row r="122" spans="1:9" x14ac:dyDescent="0.25">
      <c r="A122" t="s">
        <v>37</v>
      </c>
      <c r="B122" t="s">
        <v>42</v>
      </c>
      <c r="C122">
        <v>4373.2961699712696</v>
      </c>
      <c r="D122">
        <v>0</v>
      </c>
      <c r="E122">
        <v>0</v>
      </c>
      <c r="F122">
        <v>0</v>
      </c>
      <c r="G122">
        <v>0</v>
      </c>
      <c r="H122">
        <f t="shared" si="1"/>
        <v>4373.2961699712696</v>
      </c>
    </row>
    <row r="123" spans="1:9" s="1" customFormat="1" x14ac:dyDescent="0.25">
      <c r="A123" s="1" t="s">
        <v>34</v>
      </c>
      <c r="B123" s="1" t="s">
        <v>0</v>
      </c>
      <c r="C123" s="1">
        <v>1178083.7293079963</v>
      </c>
      <c r="D123" s="1">
        <v>14342521.318000002</v>
      </c>
      <c r="E123" s="1">
        <v>22591</v>
      </c>
      <c r="F123">
        <v>0</v>
      </c>
      <c r="G123" s="1">
        <v>13994354.427000007</v>
      </c>
      <c r="H123" s="1">
        <f t="shared" si="1"/>
        <v>29514959.474308006</v>
      </c>
      <c r="I123"/>
    </row>
    <row r="124" spans="1:9" x14ac:dyDescent="0.25">
      <c r="A124" t="s">
        <v>34</v>
      </c>
      <c r="B124" t="s">
        <v>1</v>
      </c>
      <c r="C124">
        <v>659808.34623300051</v>
      </c>
      <c r="D124">
        <v>8109163.4310000008</v>
      </c>
      <c r="E124">
        <v>12957</v>
      </c>
      <c r="F124">
        <v>0</v>
      </c>
      <c r="G124">
        <v>8026419.8310000021</v>
      </c>
      <c r="H124">
        <f t="shared" si="1"/>
        <v>16795391.608233005</v>
      </c>
    </row>
    <row r="125" spans="1:9" x14ac:dyDescent="0.25">
      <c r="A125" t="s">
        <v>34</v>
      </c>
      <c r="B125" t="s">
        <v>2</v>
      </c>
      <c r="C125">
        <v>566997.34197507158</v>
      </c>
      <c r="D125">
        <v>6883900.5039999997</v>
      </c>
      <c r="E125">
        <v>10806</v>
      </c>
      <c r="F125">
        <v>0</v>
      </c>
      <c r="G125">
        <v>6693948.6490000021</v>
      </c>
      <c r="H125">
        <f t="shared" si="1"/>
        <v>14144846.494975073</v>
      </c>
    </row>
    <row r="126" spans="1:9" x14ac:dyDescent="0.25">
      <c r="A126" t="s">
        <v>34</v>
      </c>
      <c r="B126" t="s">
        <v>3</v>
      </c>
      <c r="C126">
        <v>447254.34580686031</v>
      </c>
      <c r="D126">
        <v>5119598.3490000004</v>
      </c>
      <c r="E126">
        <v>8459</v>
      </c>
      <c r="F126">
        <v>0</v>
      </c>
      <c r="G126">
        <v>5240062.1500000013</v>
      </c>
      <c r="H126">
        <f t="shared" si="1"/>
        <v>10806914.844806861</v>
      </c>
    </row>
    <row r="127" spans="1:9" x14ac:dyDescent="0.25">
      <c r="A127" t="s">
        <v>34</v>
      </c>
      <c r="B127" t="s">
        <v>4</v>
      </c>
      <c r="C127">
        <v>1096473.1753719237</v>
      </c>
      <c r="D127">
        <v>13435202.337000001</v>
      </c>
      <c r="E127">
        <v>21949</v>
      </c>
      <c r="F127">
        <v>0</v>
      </c>
      <c r="G127">
        <v>13596657.308000002</v>
      </c>
      <c r="H127">
        <f t="shared" si="1"/>
        <v>28128332.820371926</v>
      </c>
    </row>
    <row r="128" spans="1:9" x14ac:dyDescent="0.25">
      <c r="A128" t="s">
        <v>34</v>
      </c>
      <c r="B128" t="s">
        <v>5</v>
      </c>
      <c r="C128">
        <v>1236478.8043951299</v>
      </c>
      <c r="D128">
        <v>14831224.734999998</v>
      </c>
      <c r="E128">
        <v>23755</v>
      </c>
      <c r="F128">
        <v>0</v>
      </c>
      <c r="G128">
        <v>14715412.752000006</v>
      </c>
      <c r="H128">
        <f t="shared" si="1"/>
        <v>30783116.291395135</v>
      </c>
    </row>
    <row r="129" spans="1:8" x14ac:dyDescent="0.25">
      <c r="A129" t="s">
        <v>34</v>
      </c>
      <c r="B129" t="s">
        <v>6</v>
      </c>
      <c r="C129">
        <v>1042303.7247243997</v>
      </c>
      <c r="D129">
        <v>12442503.610000001</v>
      </c>
      <c r="E129">
        <v>20110</v>
      </c>
      <c r="F129">
        <v>0</v>
      </c>
      <c r="G129">
        <v>12457459.497000001</v>
      </c>
      <c r="H129">
        <f t="shared" si="1"/>
        <v>25942266.831724402</v>
      </c>
    </row>
    <row r="130" spans="1:8" x14ac:dyDescent="0.25">
      <c r="A130" t="s">
        <v>34</v>
      </c>
      <c r="B130" t="s">
        <v>7</v>
      </c>
      <c r="C130">
        <v>1637353.1036419391</v>
      </c>
      <c r="D130">
        <v>19763497.390000001</v>
      </c>
      <c r="E130">
        <v>37016</v>
      </c>
      <c r="F130">
        <v>0</v>
      </c>
      <c r="G130">
        <v>22930150.213000003</v>
      </c>
      <c r="H130">
        <f t="shared" si="1"/>
        <v>44331000.706641942</v>
      </c>
    </row>
    <row r="131" spans="1:8" x14ac:dyDescent="0.25">
      <c r="A131" t="s">
        <v>34</v>
      </c>
      <c r="B131" t="s">
        <v>8</v>
      </c>
      <c r="C131">
        <v>1883.712099584955</v>
      </c>
      <c r="D131">
        <v>21026.352000000003</v>
      </c>
      <c r="E131">
        <v>34</v>
      </c>
      <c r="F131">
        <v>0</v>
      </c>
      <c r="G131">
        <v>21061.842000000004</v>
      </c>
      <c r="H131">
        <f t="shared" ref="H131:H194" si="2">+D131+C131+G131</f>
        <v>43971.906099584958</v>
      </c>
    </row>
    <row r="132" spans="1:8" x14ac:dyDescent="0.25">
      <c r="A132" t="s">
        <v>34</v>
      </c>
      <c r="B132" t="s">
        <v>9</v>
      </c>
      <c r="C132">
        <v>7380180.3616225477</v>
      </c>
      <c r="D132">
        <v>88890499.748000011</v>
      </c>
      <c r="E132">
        <v>143931</v>
      </c>
      <c r="F132">
        <v>0</v>
      </c>
      <c r="G132">
        <v>89160348.240999982</v>
      </c>
      <c r="H132">
        <f t="shared" si="2"/>
        <v>185431028.35062253</v>
      </c>
    </row>
    <row r="133" spans="1:8" x14ac:dyDescent="0.25">
      <c r="A133" t="s">
        <v>34</v>
      </c>
      <c r="B133" t="s">
        <v>10</v>
      </c>
      <c r="C133">
        <v>1006665.9282457654</v>
      </c>
      <c r="D133">
        <v>11973552.229000004</v>
      </c>
      <c r="E133">
        <v>19332</v>
      </c>
      <c r="F133">
        <v>0</v>
      </c>
      <c r="G133">
        <v>11975515.019000005</v>
      </c>
      <c r="H133">
        <f t="shared" si="2"/>
        <v>24955733.176245775</v>
      </c>
    </row>
    <row r="134" spans="1:8" x14ac:dyDescent="0.25">
      <c r="A134" t="s">
        <v>34</v>
      </c>
      <c r="B134" t="s">
        <v>11</v>
      </c>
      <c r="C134">
        <v>1133740.1282610099</v>
      </c>
      <c r="D134">
        <v>13700898.975000003</v>
      </c>
      <c r="E134">
        <v>22119</v>
      </c>
      <c r="F134">
        <v>0</v>
      </c>
      <c r="G134">
        <v>13701966.520000007</v>
      </c>
      <c r="H134">
        <f t="shared" si="2"/>
        <v>28536605.62326102</v>
      </c>
    </row>
    <row r="135" spans="1:8" x14ac:dyDescent="0.25">
      <c r="A135" t="s">
        <v>34</v>
      </c>
      <c r="B135" t="s">
        <v>12</v>
      </c>
      <c r="C135">
        <v>3111943.2996521727</v>
      </c>
      <c r="D135">
        <v>37461952.064000003</v>
      </c>
      <c r="E135">
        <v>63454</v>
      </c>
      <c r="F135">
        <v>0</v>
      </c>
      <c r="G135">
        <v>39307590.004000001</v>
      </c>
      <c r="H135">
        <f t="shared" si="2"/>
        <v>79881485.367652178</v>
      </c>
    </row>
    <row r="136" spans="1:8" x14ac:dyDescent="0.25">
      <c r="A136" t="s">
        <v>34</v>
      </c>
      <c r="B136" t="s">
        <v>13</v>
      </c>
      <c r="C136">
        <v>4652819.7971126661</v>
      </c>
      <c r="D136">
        <v>56727188.612999998</v>
      </c>
      <c r="E136">
        <v>97934</v>
      </c>
      <c r="F136">
        <v>0</v>
      </c>
      <c r="G136">
        <v>60666774.668999977</v>
      </c>
      <c r="H136">
        <f t="shared" si="2"/>
        <v>122046783.07911265</v>
      </c>
    </row>
    <row r="137" spans="1:8" x14ac:dyDescent="0.25">
      <c r="A137" t="s">
        <v>34</v>
      </c>
      <c r="B137" t="s">
        <v>14</v>
      </c>
      <c r="C137">
        <v>327053.14939820953</v>
      </c>
      <c r="D137">
        <v>3835716.4979999997</v>
      </c>
      <c r="E137">
        <v>6597</v>
      </c>
      <c r="F137">
        <v>0</v>
      </c>
      <c r="G137">
        <v>4086616.6210000012</v>
      </c>
      <c r="H137">
        <f t="shared" si="2"/>
        <v>8249386.2683982104</v>
      </c>
    </row>
    <row r="138" spans="1:8" x14ac:dyDescent="0.25">
      <c r="A138" t="s">
        <v>34</v>
      </c>
      <c r="B138" t="s">
        <v>15</v>
      </c>
      <c r="C138">
        <v>162559.26308039899</v>
      </c>
      <c r="D138">
        <v>2002600.8259999999</v>
      </c>
      <c r="E138">
        <v>4201</v>
      </c>
      <c r="F138">
        <v>0</v>
      </c>
      <c r="G138">
        <v>2602376.2970000003</v>
      </c>
      <c r="H138">
        <f t="shared" si="2"/>
        <v>4767536.3860803992</v>
      </c>
    </row>
    <row r="139" spans="1:8" x14ac:dyDescent="0.25">
      <c r="A139" t="s">
        <v>34</v>
      </c>
      <c r="B139" t="s">
        <v>16</v>
      </c>
      <c r="C139">
        <v>292128.10884914792</v>
      </c>
      <c r="D139">
        <v>3555365.1239999989</v>
      </c>
      <c r="E139">
        <v>5821</v>
      </c>
      <c r="F139">
        <v>0</v>
      </c>
      <c r="G139">
        <v>3605911.0760000013</v>
      </c>
      <c r="H139">
        <f t="shared" si="2"/>
        <v>7453404.3088491485</v>
      </c>
    </row>
    <row r="140" spans="1:8" x14ac:dyDescent="0.25">
      <c r="A140" t="s">
        <v>34</v>
      </c>
      <c r="B140" t="s">
        <v>17</v>
      </c>
      <c r="C140">
        <v>97902.118040591042</v>
      </c>
      <c r="D140">
        <v>1187033.1940000001</v>
      </c>
      <c r="E140">
        <v>2488</v>
      </c>
      <c r="F140">
        <v>0</v>
      </c>
      <c r="G140">
        <v>1541231.1900000002</v>
      </c>
      <c r="H140">
        <f t="shared" si="2"/>
        <v>2826166.5020405911</v>
      </c>
    </row>
    <row r="141" spans="1:8" x14ac:dyDescent="0.25">
      <c r="A141" t="s">
        <v>34</v>
      </c>
      <c r="B141" t="s">
        <v>18</v>
      </c>
      <c r="C141">
        <v>1807956.3264989441</v>
      </c>
      <c r="D141">
        <v>21200298.177000005</v>
      </c>
      <c r="E141">
        <v>33942</v>
      </c>
      <c r="F141">
        <v>0</v>
      </c>
      <c r="G141">
        <v>21025911.997999996</v>
      </c>
      <c r="H141">
        <f t="shared" si="2"/>
        <v>44034166.501498945</v>
      </c>
    </row>
    <row r="142" spans="1:8" x14ac:dyDescent="0.25">
      <c r="A142" t="s">
        <v>34</v>
      </c>
      <c r="B142" t="s">
        <v>19</v>
      </c>
      <c r="C142">
        <v>1247831.9881304661</v>
      </c>
      <c r="D142">
        <v>14223371.986</v>
      </c>
      <c r="E142">
        <v>24077</v>
      </c>
      <c r="F142">
        <v>0</v>
      </c>
      <c r="G142">
        <v>14914880.772999998</v>
      </c>
      <c r="H142">
        <f t="shared" si="2"/>
        <v>30386084.747130465</v>
      </c>
    </row>
    <row r="143" spans="1:8" x14ac:dyDescent="0.25">
      <c r="A143" t="s">
        <v>34</v>
      </c>
      <c r="B143" t="s">
        <v>20</v>
      </c>
      <c r="C143">
        <v>1037721.7223200039</v>
      </c>
      <c r="D143">
        <v>12645121.197000002</v>
      </c>
      <c r="E143">
        <v>19260</v>
      </c>
      <c r="F143">
        <v>0</v>
      </c>
      <c r="G143">
        <v>11930913.473000001</v>
      </c>
      <c r="H143">
        <f t="shared" si="2"/>
        <v>25613756.392320007</v>
      </c>
    </row>
    <row r="144" spans="1:8" x14ac:dyDescent="0.25">
      <c r="A144" t="s">
        <v>34</v>
      </c>
      <c r="B144" t="s">
        <v>21</v>
      </c>
      <c r="C144">
        <v>376589.68650351121</v>
      </c>
      <c r="D144">
        <v>4538506.4120000014</v>
      </c>
      <c r="E144">
        <v>7837</v>
      </c>
      <c r="F144">
        <v>0</v>
      </c>
      <c r="G144">
        <v>4854754.3580000019</v>
      </c>
      <c r="H144">
        <f t="shared" si="2"/>
        <v>9769850.4565035142</v>
      </c>
    </row>
    <row r="145" spans="1:9" x14ac:dyDescent="0.25">
      <c r="A145" t="s">
        <v>34</v>
      </c>
      <c r="B145" t="s">
        <v>22</v>
      </c>
      <c r="C145">
        <v>958758.54755091562</v>
      </c>
      <c r="D145">
        <v>11402654.888999999</v>
      </c>
      <c r="E145">
        <v>18396</v>
      </c>
      <c r="F145">
        <v>0</v>
      </c>
      <c r="G145">
        <v>11395694.923000002</v>
      </c>
      <c r="H145">
        <f t="shared" si="2"/>
        <v>23757108.359550916</v>
      </c>
    </row>
    <row r="146" spans="1:9" x14ac:dyDescent="0.25">
      <c r="A146" t="s">
        <v>34</v>
      </c>
      <c r="B146" t="s">
        <v>23</v>
      </c>
      <c r="C146">
        <v>153700.72509856703</v>
      </c>
      <c r="D146">
        <v>1812089.3230000001</v>
      </c>
      <c r="E146">
        <v>3323</v>
      </c>
      <c r="F146">
        <v>0</v>
      </c>
      <c r="G146">
        <v>2058485.2240000004</v>
      </c>
      <c r="H146">
        <f t="shared" si="2"/>
        <v>4024275.2720985673</v>
      </c>
    </row>
    <row r="147" spans="1:9" x14ac:dyDescent="0.25">
      <c r="A147" t="s">
        <v>34</v>
      </c>
      <c r="B147" t="s">
        <v>42</v>
      </c>
      <c r="C147">
        <v>45463.646079172024</v>
      </c>
      <c r="D147">
        <v>0</v>
      </c>
      <c r="E147">
        <v>0</v>
      </c>
      <c r="F147">
        <v>0</v>
      </c>
      <c r="G147">
        <v>0</v>
      </c>
      <c r="H147">
        <f t="shared" si="2"/>
        <v>45463.646079172024</v>
      </c>
    </row>
    <row r="148" spans="1:9" s="1" customFormat="1" x14ac:dyDescent="0.25">
      <c r="A148" s="1" t="s">
        <v>35</v>
      </c>
      <c r="B148" s="1" t="s">
        <v>0</v>
      </c>
      <c r="C148" s="1">
        <v>702062.95725944557</v>
      </c>
      <c r="D148" s="1">
        <v>7910050.6319999984</v>
      </c>
      <c r="E148" s="1">
        <v>9631</v>
      </c>
      <c r="F148" s="1">
        <v>0</v>
      </c>
      <c r="G148" s="1">
        <v>9004989.848000003</v>
      </c>
      <c r="H148" s="1">
        <f t="shared" si="2"/>
        <v>17617103.437259447</v>
      </c>
      <c r="I148"/>
    </row>
    <row r="149" spans="1:9" x14ac:dyDescent="0.25">
      <c r="A149" t="s">
        <v>35</v>
      </c>
      <c r="B149" t="s">
        <v>1</v>
      </c>
      <c r="C149">
        <v>731722.92170349578</v>
      </c>
      <c r="D149">
        <v>8339447.9380000019</v>
      </c>
      <c r="E149">
        <v>9868</v>
      </c>
      <c r="F149">
        <v>0</v>
      </c>
      <c r="G149">
        <v>9226584.9629999995</v>
      </c>
      <c r="H149">
        <f t="shared" si="2"/>
        <v>18297755.822703496</v>
      </c>
    </row>
    <row r="150" spans="1:9" x14ac:dyDescent="0.25">
      <c r="A150" t="s">
        <v>35</v>
      </c>
      <c r="B150" t="s">
        <v>2</v>
      </c>
      <c r="C150">
        <v>319963.0801198936</v>
      </c>
      <c r="D150">
        <v>3656065.7660000003</v>
      </c>
      <c r="E150">
        <v>4347</v>
      </c>
      <c r="F150">
        <v>0</v>
      </c>
      <c r="G150">
        <v>4064447.1899999995</v>
      </c>
      <c r="H150">
        <f t="shared" si="2"/>
        <v>8040476.0361198932</v>
      </c>
    </row>
    <row r="151" spans="1:9" x14ac:dyDescent="0.25">
      <c r="A151" t="s">
        <v>35</v>
      </c>
      <c r="B151" t="s">
        <v>3</v>
      </c>
      <c r="C151">
        <v>289888.87036237901</v>
      </c>
      <c r="D151">
        <v>3463741.4789999998</v>
      </c>
      <c r="E151">
        <v>4259</v>
      </c>
      <c r="F151">
        <v>0</v>
      </c>
      <c r="G151">
        <v>3982167.142</v>
      </c>
      <c r="H151">
        <f t="shared" si="2"/>
        <v>7735797.4913623789</v>
      </c>
    </row>
    <row r="152" spans="1:9" x14ac:dyDescent="0.25">
      <c r="A152" t="s">
        <v>35</v>
      </c>
      <c r="B152" t="s">
        <v>4</v>
      </c>
      <c r="C152">
        <v>1306943.9639801455</v>
      </c>
      <c r="D152">
        <v>14836581.480000002</v>
      </c>
      <c r="E152">
        <v>17501</v>
      </c>
      <c r="F152">
        <v>0</v>
      </c>
      <c r="G152">
        <v>16363443.813000001</v>
      </c>
      <c r="H152">
        <f t="shared" si="2"/>
        <v>32506969.256980151</v>
      </c>
    </row>
    <row r="153" spans="1:9" x14ac:dyDescent="0.25">
      <c r="A153" t="s">
        <v>35</v>
      </c>
      <c r="B153" t="s">
        <v>5</v>
      </c>
      <c r="C153">
        <v>1170408.7086622831</v>
      </c>
      <c r="D153">
        <v>12963799.878</v>
      </c>
      <c r="E153">
        <v>15358</v>
      </c>
      <c r="F153">
        <v>0</v>
      </c>
      <c r="G153">
        <v>14359737.729000002</v>
      </c>
      <c r="H153">
        <f t="shared" si="2"/>
        <v>28493946.315662287</v>
      </c>
    </row>
    <row r="154" spans="1:9" x14ac:dyDescent="0.25">
      <c r="A154" t="s">
        <v>35</v>
      </c>
      <c r="B154" t="s">
        <v>6</v>
      </c>
      <c r="C154">
        <v>421536.03098136169</v>
      </c>
      <c r="D154">
        <v>5123252.5810000012</v>
      </c>
      <c r="E154">
        <v>5982</v>
      </c>
      <c r="F154">
        <v>0</v>
      </c>
      <c r="G154">
        <v>5593173.017</v>
      </c>
      <c r="H154">
        <f t="shared" si="2"/>
        <v>11137961.628981363</v>
      </c>
    </row>
    <row r="155" spans="1:9" x14ac:dyDescent="0.25">
      <c r="A155" t="s">
        <v>35</v>
      </c>
      <c r="B155" t="s">
        <v>7</v>
      </c>
      <c r="C155">
        <v>2032453.2059816755</v>
      </c>
      <c r="D155">
        <v>23999596.316999998</v>
      </c>
      <c r="E155">
        <v>27732</v>
      </c>
      <c r="F155">
        <v>0</v>
      </c>
      <c r="G155">
        <v>25929433.953000002</v>
      </c>
      <c r="H155">
        <f t="shared" si="2"/>
        <v>51961483.475981675</v>
      </c>
    </row>
    <row r="156" spans="1:9" x14ac:dyDescent="0.25">
      <c r="A156" t="s">
        <v>35</v>
      </c>
      <c r="B156" t="s">
        <v>8</v>
      </c>
      <c r="C156">
        <v>248.54718807863307</v>
      </c>
      <c r="D156">
        <v>2856.3</v>
      </c>
      <c r="E156">
        <v>10</v>
      </c>
      <c r="F156">
        <v>0</v>
      </c>
      <c r="G156">
        <v>9350.0069999999996</v>
      </c>
      <c r="H156">
        <f t="shared" si="2"/>
        <v>12454.854188078632</v>
      </c>
    </row>
    <row r="157" spans="1:9" x14ac:dyDescent="0.25">
      <c r="A157" t="s">
        <v>35</v>
      </c>
      <c r="B157" t="s">
        <v>9</v>
      </c>
      <c r="C157">
        <v>3071877.5465265187</v>
      </c>
      <c r="D157">
        <v>35711384.090000004</v>
      </c>
      <c r="E157">
        <v>40102</v>
      </c>
      <c r="F157">
        <v>0</v>
      </c>
      <c r="G157">
        <v>37495390.177999981</v>
      </c>
      <c r="H157">
        <f t="shared" si="2"/>
        <v>76278651.814526498</v>
      </c>
    </row>
    <row r="158" spans="1:9" x14ac:dyDescent="0.25">
      <c r="A158" t="s">
        <v>35</v>
      </c>
      <c r="B158" t="s">
        <v>10</v>
      </c>
      <c r="C158">
        <v>931057.76654255937</v>
      </c>
      <c r="D158">
        <v>10728267.989</v>
      </c>
      <c r="E158">
        <v>12667</v>
      </c>
      <c r="F158">
        <v>0</v>
      </c>
      <c r="G158">
        <v>11843651.378000004</v>
      </c>
      <c r="H158">
        <f t="shared" si="2"/>
        <v>23502977.133542564</v>
      </c>
    </row>
    <row r="159" spans="1:9" x14ac:dyDescent="0.25">
      <c r="A159" t="s">
        <v>35</v>
      </c>
      <c r="B159" t="s">
        <v>11</v>
      </c>
      <c r="C159">
        <v>896012.61302347213</v>
      </c>
      <c r="D159">
        <v>10186522.834999999</v>
      </c>
      <c r="E159">
        <v>12662</v>
      </c>
      <c r="F159">
        <v>0</v>
      </c>
      <c r="G159">
        <v>11838976.374000002</v>
      </c>
      <c r="H159">
        <f t="shared" si="2"/>
        <v>22921511.822023474</v>
      </c>
    </row>
    <row r="160" spans="1:9" x14ac:dyDescent="0.25">
      <c r="A160" t="s">
        <v>35</v>
      </c>
      <c r="B160" t="s">
        <v>12</v>
      </c>
      <c r="C160">
        <v>1717461.0696233544</v>
      </c>
      <c r="D160">
        <v>20431123.794000003</v>
      </c>
      <c r="E160">
        <v>19805</v>
      </c>
      <c r="F160">
        <v>0</v>
      </c>
      <c r="G160">
        <v>18517684.965999998</v>
      </c>
      <c r="H160">
        <f t="shared" si="2"/>
        <v>40666269.829623356</v>
      </c>
    </row>
    <row r="161" spans="1:9" x14ac:dyDescent="0.25">
      <c r="A161" t="s">
        <v>35</v>
      </c>
      <c r="B161" t="s">
        <v>13</v>
      </c>
      <c r="C161">
        <v>2807920.4327870104</v>
      </c>
      <c r="D161">
        <v>33400636.268999994</v>
      </c>
      <c r="E161">
        <v>37141</v>
      </c>
      <c r="F161">
        <v>0</v>
      </c>
      <c r="G161">
        <v>34726853.683999985</v>
      </c>
      <c r="H161">
        <f t="shared" si="2"/>
        <v>70935410.38578698</v>
      </c>
    </row>
    <row r="162" spans="1:9" x14ac:dyDescent="0.25">
      <c r="A162" t="s">
        <v>35</v>
      </c>
      <c r="B162" t="s">
        <v>14</v>
      </c>
      <c r="C162">
        <v>1093524.7784832926</v>
      </c>
      <c r="D162">
        <v>14135835.544999998</v>
      </c>
      <c r="E162">
        <v>16774</v>
      </c>
      <c r="F162">
        <v>0</v>
      </c>
      <c r="G162">
        <v>15683698.448000003</v>
      </c>
      <c r="H162">
        <f t="shared" si="2"/>
        <v>30913058.771483295</v>
      </c>
    </row>
    <row r="163" spans="1:9" x14ac:dyDescent="0.25">
      <c r="A163" t="s">
        <v>35</v>
      </c>
      <c r="B163" t="s">
        <v>15</v>
      </c>
      <c r="C163">
        <v>518386.58526933566</v>
      </c>
      <c r="D163">
        <v>7455898.7119999994</v>
      </c>
      <c r="E163">
        <v>9255</v>
      </c>
      <c r="F163">
        <v>0</v>
      </c>
      <c r="G163">
        <v>8653429.657999998</v>
      </c>
      <c r="H163">
        <f t="shared" si="2"/>
        <v>16627714.955269333</v>
      </c>
    </row>
    <row r="164" spans="1:9" x14ac:dyDescent="0.25">
      <c r="A164" t="s">
        <v>35</v>
      </c>
      <c r="B164" t="s">
        <v>16</v>
      </c>
      <c r="C164">
        <v>544152.64376682066</v>
      </c>
      <c r="D164">
        <v>6851314.9170000004</v>
      </c>
      <c r="E164">
        <v>8192</v>
      </c>
      <c r="F164">
        <v>0</v>
      </c>
      <c r="G164">
        <v>7659524.1209999993</v>
      </c>
      <c r="H164">
        <f t="shared" si="2"/>
        <v>15054991.681766819</v>
      </c>
    </row>
    <row r="165" spans="1:9" x14ac:dyDescent="0.25">
      <c r="A165" t="s">
        <v>35</v>
      </c>
      <c r="B165" t="s">
        <v>17</v>
      </c>
      <c r="C165">
        <v>280692.62440346961</v>
      </c>
      <c r="D165">
        <v>4367284.8140000002</v>
      </c>
      <c r="E165">
        <v>5775</v>
      </c>
      <c r="F165">
        <v>0</v>
      </c>
      <c r="G165">
        <v>5399627.9060000014</v>
      </c>
      <c r="H165">
        <f t="shared" si="2"/>
        <v>10047605.344403472</v>
      </c>
    </row>
    <row r="166" spans="1:9" x14ac:dyDescent="0.25">
      <c r="A166" t="s">
        <v>35</v>
      </c>
      <c r="B166" t="s">
        <v>18</v>
      </c>
      <c r="C166">
        <v>925838.27559290815</v>
      </c>
      <c r="D166">
        <v>11305240.877000006</v>
      </c>
      <c r="E166">
        <v>15383</v>
      </c>
      <c r="F166">
        <v>0</v>
      </c>
      <c r="G166">
        <v>14383112.745999999</v>
      </c>
      <c r="H166">
        <f t="shared" si="2"/>
        <v>26614191.898592912</v>
      </c>
    </row>
    <row r="167" spans="1:9" x14ac:dyDescent="0.25">
      <c r="A167" t="s">
        <v>35</v>
      </c>
      <c r="B167" t="s">
        <v>19</v>
      </c>
      <c r="C167">
        <v>720206.9019891856</v>
      </c>
      <c r="D167">
        <v>9876138.0829999987</v>
      </c>
      <c r="E167">
        <v>9509</v>
      </c>
      <c r="F167">
        <v>0</v>
      </c>
      <c r="G167">
        <v>8890919.784</v>
      </c>
      <c r="H167">
        <f t="shared" si="2"/>
        <v>19487264.768989183</v>
      </c>
    </row>
    <row r="168" spans="1:9" x14ac:dyDescent="0.25">
      <c r="A168" t="s">
        <v>35</v>
      </c>
      <c r="B168" t="s">
        <v>20</v>
      </c>
      <c r="C168">
        <v>637440.68835900095</v>
      </c>
      <c r="D168">
        <v>7410197.8880000003</v>
      </c>
      <c r="E168">
        <v>8738</v>
      </c>
      <c r="F168">
        <v>0</v>
      </c>
      <c r="G168">
        <v>8170034.3970000008</v>
      </c>
      <c r="H168">
        <f t="shared" si="2"/>
        <v>16217672.973359002</v>
      </c>
    </row>
    <row r="169" spans="1:9" x14ac:dyDescent="0.25">
      <c r="A169" t="s">
        <v>35</v>
      </c>
      <c r="B169" t="s">
        <v>21</v>
      </c>
      <c r="C169">
        <v>441171.25883957371</v>
      </c>
      <c r="D169">
        <v>5663093.5430000005</v>
      </c>
      <c r="E169">
        <v>7195</v>
      </c>
      <c r="F169">
        <v>0</v>
      </c>
      <c r="G169">
        <v>6727328.6210000003</v>
      </c>
      <c r="H169">
        <f t="shared" si="2"/>
        <v>12831593.422839575</v>
      </c>
    </row>
    <row r="170" spans="1:9" x14ac:dyDescent="0.25">
      <c r="A170" t="s">
        <v>35</v>
      </c>
      <c r="B170" t="s">
        <v>22</v>
      </c>
      <c r="C170">
        <v>627830.19708662713</v>
      </c>
      <c r="D170">
        <v>6769434.2779999981</v>
      </c>
      <c r="E170">
        <v>8438</v>
      </c>
      <c r="F170">
        <v>0</v>
      </c>
      <c r="G170">
        <v>7889534.2480000015</v>
      </c>
      <c r="H170">
        <f t="shared" si="2"/>
        <v>15286798.723086627</v>
      </c>
    </row>
    <row r="171" spans="1:9" x14ac:dyDescent="0.25">
      <c r="A171" t="s">
        <v>35</v>
      </c>
      <c r="B171" t="s">
        <v>23</v>
      </c>
      <c r="C171">
        <v>191961.2782593976</v>
      </c>
      <c r="D171">
        <v>2675402.2940000007</v>
      </c>
      <c r="E171">
        <v>3764</v>
      </c>
      <c r="F171">
        <v>0</v>
      </c>
      <c r="G171">
        <v>3519341.8949999996</v>
      </c>
      <c r="H171">
        <f t="shared" si="2"/>
        <v>6386705.4672593977</v>
      </c>
    </row>
    <row r="172" spans="1:9" x14ac:dyDescent="0.25">
      <c r="A172" t="s">
        <v>35</v>
      </c>
      <c r="B172" t="s">
        <v>42</v>
      </c>
      <c r="C172">
        <v>35956.493208708911</v>
      </c>
      <c r="D172">
        <v>0</v>
      </c>
      <c r="E172">
        <v>0</v>
      </c>
      <c r="F172">
        <v>0</v>
      </c>
      <c r="G172">
        <v>0</v>
      </c>
      <c r="H172">
        <f t="shared" si="2"/>
        <v>35956.493208708911</v>
      </c>
    </row>
    <row r="173" spans="1:9" s="1" customFormat="1" x14ac:dyDescent="0.25">
      <c r="A173" s="1" t="s">
        <v>36</v>
      </c>
      <c r="B173" s="1" t="s">
        <v>0</v>
      </c>
      <c r="C173" s="1">
        <v>317639.65692114574</v>
      </c>
      <c r="D173" s="1">
        <v>3835212.8769999999</v>
      </c>
      <c r="E173" s="1">
        <v>1406</v>
      </c>
      <c r="F173">
        <v>0</v>
      </c>
      <c r="G173" s="1">
        <v>3880929.7800000003</v>
      </c>
      <c r="H173" s="1">
        <f t="shared" si="2"/>
        <v>8033782.3139211461</v>
      </c>
      <c r="I173"/>
    </row>
    <row r="174" spans="1:9" x14ac:dyDescent="0.25">
      <c r="A174" t="s">
        <v>36</v>
      </c>
      <c r="B174" t="s">
        <v>1</v>
      </c>
      <c r="C174">
        <v>180585.798927308</v>
      </c>
      <c r="D174">
        <v>2244661.7649999992</v>
      </c>
      <c r="E174">
        <v>903</v>
      </c>
      <c r="F174">
        <v>0</v>
      </c>
      <c r="G174">
        <v>2492517.4939999999</v>
      </c>
      <c r="H174">
        <f t="shared" si="2"/>
        <v>4917765.0579273067</v>
      </c>
    </row>
    <row r="175" spans="1:9" x14ac:dyDescent="0.25">
      <c r="A175" t="s">
        <v>36</v>
      </c>
      <c r="B175" t="s">
        <v>2</v>
      </c>
      <c r="C175">
        <v>196850.48015519799</v>
      </c>
      <c r="D175">
        <v>2294977.969</v>
      </c>
      <c r="E175">
        <v>866</v>
      </c>
      <c r="F175">
        <v>0</v>
      </c>
      <c r="G175">
        <v>2390387.7600000007</v>
      </c>
      <c r="H175">
        <f t="shared" si="2"/>
        <v>4882216.2091551982</v>
      </c>
    </row>
    <row r="176" spans="1:9" x14ac:dyDescent="0.25">
      <c r="A176" t="s">
        <v>36</v>
      </c>
      <c r="B176" t="s">
        <v>3</v>
      </c>
      <c r="C176">
        <v>91847.611639849376</v>
      </c>
      <c r="D176">
        <v>1165658.7259999996</v>
      </c>
      <c r="E176">
        <v>426</v>
      </c>
      <c r="F176">
        <v>0</v>
      </c>
      <c r="G176">
        <v>1175872.0380000002</v>
      </c>
      <c r="H176">
        <f t="shared" si="2"/>
        <v>2433378.3756398493</v>
      </c>
    </row>
    <row r="177" spans="1:8" x14ac:dyDescent="0.25">
      <c r="A177" t="s">
        <v>36</v>
      </c>
      <c r="B177" t="s">
        <v>4</v>
      </c>
      <c r="C177">
        <v>277934.69980600255</v>
      </c>
      <c r="D177">
        <v>3424297.2150000008</v>
      </c>
      <c r="E177">
        <v>1308</v>
      </c>
      <c r="F177">
        <v>0</v>
      </c>
      <c r="G177">
        <v>3610424.0090000001</v>
      </c>
      <c r="H177">
        <f t="shared" si="2"/>
        <v>7312655.9238060033</v>
      </c>
    </row>
    <row r="178" spans="1:8" x14ac:dyDescent="0.25">
      <c r="A178" t="s">
        <v>36</v>
      </c>
      <c r="B178" t="s">
        <v>5</v>
      </c>
      <c r="C178">
        <v>237033.81024763209</v>
      </c>
      <c r="D178">
        <v>2890386.3879999998</v>
      </c>
      <c r="E178">
        <v>1042</v>
      </c>
      <c r="F178">
        <v>0</v>
      </c>
      <c r="G178">
        <v>2876194.05</v>
      </c>
      <c r="H178">
        <f t="shared" si="2"/>
        <v>6003614.2482476318</v>
      </c>
    </row>
    <row r="179" spans="1:8" x14ac:dyDescent="0.25">
      <c r="A179" t="s">
        <v>36</v>
      </c>
      <c r="B179" t="s">
        <v>6</v>
      </c>
      <c r="C179">
        <v>657523.65728631744</v>
      </c>
      <c r="D179">
        <v>7888462.6430000002</v>
      </c>
      <c r="E179">
        <v>3039</v>
      </c>
      <c r="F179">
        <v>0</v>
      </c>
      <c r="G179">
        <v>8388439.2709999941</v>
      </c>
      <c r="H179">
        <f t="shared" si="2"/>
        <v>16934425.571286313</v>
      </c>
    </row>
    <row r="180" spans="1:8" x14ac:dyDescent="0.25">
      <c r="A180" t="s">
        <v>36</v>
      </c>
      <c r="B180" t="s">
        <v>7</v>
      </c>
      <c r="C180">
        <v>398723.87657195021</v>
      </c>
      <c r="D180">
        <v>4939374.0199999986</v>
      </c>
      <c r="E180">
        <v>1910</v>
      </c>
      <c r="F180">
        <v>0</v>
      </c>
      <c r="G180">
        <v>5272102.34</v>
      </c>
      <c r="H180">
        <f t="shared" si="2"/>
        <v>10610200.236571949</v>
      </c>
    </row>
    <row r="181" spans="1:8" x14ac:dyDescent="0.25">
      <c r="A181" t="s">
        <v>36</v>
      </c>
      <c r="B181" t="s">
        <v>8</v>
      </c>
      <c r="C181">
        <v>4305.3567956179395</v>
      </c>
      <c r="D181">
        <v>58702.237999999998</v>
      </c>
      <c r="E181">
        <v>25</v>
      </c>
      <c r="F181">
        <v>0</v>
      </c>
      <c r="G181">
        <v>69006.574999999997</v>
      </c>
      <c r="H181">
        <f t="shared" si="2"/>
        <v>132014.16979561793</v>
      </c>
    </row>
    <row r="182" spans="1:8" x14ac:dyDescent="0.25">
      <c r="A182" t="s">
        <v>36</v>
      </c>
      <c r="B182" t="s">
        <v>9</v>
      </c>
      <c r="C182">
        <v>2276098.625950017</v>
      </c>
      <c r="D182">
        <v>26966689.966999993</v>
      </c>
      <c r="E182">
        <v>10833</v>
      </c>
      <c r="F182">
        <v>0</v>
      </c>
      <c r="G182">
        <v>29901929.162</v>
      </c>
      <c r="H182">
        <f t="shared" si="2"/>
        <v>59144717.754950009</v>
      </c>
    </row>
    <row r="183" spans="1:8" x14ac:dyDescent="0.25">
      <c r="A183" t="s">
        <v>36</v>
      </c>
      <c r="B183" t="s">
        <v>10</v>
      </c>
      <c r="C183">
        <v>287741.34584046563</v>
      </c>
      <c r="D183">
        <v>3446659.9730000026</v>
      </c>
      <c r="E183">
        <v>1296</v>
      </c>
      <c r="F183">
        <v>0</v>
      </c>
      <c r="G183">
        <v>3577300.8519999995</v>
      </c>
      <c r="H183">
        <f t="shared" si="2"/>
        <v>7311702.1708404683</v>
      </c>
    </row>
    <row r="184" spans="1:8" x14ac:dyDescent="0.25">
      <c r="A184" t="s">
        <v>36</v>
      </c>
      <c r="B184" t="s">
        <v>11</v>
      </c>
      <c r="C184">
        <v>525971.08853132487</v>
      </c>
      <c r="D184">
        <v>6513153.0719999969</v>
      </c>
      <c r="E184">
        <v>2478</v>
      </c>
      <c r="F184">
        <v>0</v>
      </c>
      <c r="G184">
        <v>6839931.7210000046</v>
      </c>
      <c r="H184">
        <f t="shared" si="2"/>
        <v>13879055.881531326</v>
      </c>
    </row>
    <row r="185" spans="1:8" x14ac:dyDescent="0.25">
      <c r="A185" t="s">
        <v>36</v>
      </c>
      <c r="B185" t="s">
        <v>12</v>
      </c>
      <c r="C185">
        <v>932588.11922857468</v>
      </c>
      <c r="D185">
        <v>11399415.532999998</v>
      </c>
      <c r="E185">
        <v>4447</v>
      </c>
      <c r="F185">
        <v>0</v>
      </c>
      <c r="G185">
        <v>12274889.596999999</v>
      </c>
      <c r="H185">
        <f t="shared" si="2"/>
        <v>24606893.249228574</v>
      </c>
    </row>
    <row r="186" spans="1:8" x14ac:dyDescent="0.25">
      <c r="A186" t="s">
        <v>36</v>
      </c>
      <c r="B186" t="s">
        <v>13</v>
      </c>
      <c r="C186">
        <v>1563801.2627638935</v>
      </c>
      <c r="D186">
        <v>19539459.199999992</v>
      </c>
      <c r="E186">
        <v>7545</v>
      </c>
      <c r="F186">
        <v>0</v>
      </c>
      <c r="G186">
        <v>20826184.389000002</v>
      </c>
      <c r="H186">
        <f t="shared" si="2"/>
        <v>41929444.851763889</v>
      </c>
    </row>
    <row r="187" spans="1:8" x14ac:dyDescent="0.25">
      <c r="A187" t="s">
        <v>36</v>
      </c>
      <c r="B187" t="s">
        <v>14</v>
      </c>
      <c r="C187">
        <v>141359.21478945567</v>
      </c>
      <c r="D187">
        <v>1624095.2509999992</v>
      </c>
      <c r="E187">
        <v>642</v>
      </c>
      <c r="F187">
        <v>0</v>
      </c>
      <c r="G187">
        <v>1772088.8490000002</v>
      </c>
      <c r="H187">
        <f t="shared" si="2"/>
        <v>3537543.3147894554</v>
      </c>
    </row>
    <row r="188" spans="1:8" x14ac:dyDescent="0.25">
      <c r="A188" t="s">
        <v>36</v>
      </c>
      <c r="B188" t="s">
        <v>15</v>
      </c>
      <c r="C188">
        <v>105242.05500399407</v>
      </c>
      <c r="D188">
        <v>1277472.5109999997</v>
      </c>
      <c r="E188">
        <v>509</v>
      </c>
      <c r="F188">
        <v>0</v>
      </c>
      <c r="G188">
        <v>1404973.8680000002</v>
      </c>
      <c r="H188">
        <f t="shared" si="2"/>
        <v>2787688.4340039939</v>
      </c>
    </row>
    <row r="189" spans="1:8" x14ac:dyDescent="0.25">
      <c r="A189" t="s">
        <v>36</v>
      </c>
      <c r="B189" t="s">
        <v>16</v>
      </c>
      <c r="C189">
        <v>104524.49553805774</v>
      </c>
      <c r="D189">
        <v>1297039.9239999996</v>
      </c>
      <c r="E189">
        <v>507</v>
      </c>
      <c r="F189">
        <v>0</v>
      </c>
      <c r="G189">
        <v>1399453.3429999994</v>
      </c>
      <c r="H189">
        <f t="shared" si="2"/>
        <v>2801017.7625380568</v>
      </c>
    </row>
    <row r="190" spans="1:8" x14ac:dyDescent="0.25">
      <c r="A190" t="s">
        <v>36</v>
      </c>
      <c r="B190" t="s">
        <v>17</v>
      </c>
      <c r="C190">
        <v>116005.44699303892</v>
      </c>
      <c r="D190">
        <v>1358537.5079999997</v>
      </c>
      <c r="E190">
        <v>552</v>
      </c>
      <c r="F190">
        <v>0</v>
      </c>
      <c r="G190">
        <v>1523665.1780000003</v>
      </c>
      <c r="H190">
        <f t="shared" si="2"/>
        <v>2998208.1329930387</v>
      </c>
    </row>
    <row r="191" spans="1:8" x14ac:dyDescent="0.25">
      <c r="A191" t="s">
        <v>36</v>
      </c>
      <c r="B191" t="s">
        <v>18</v>
      </c>
      <c r="C191">
        <v>957224.32755905506</v>
      </c>
      <c r="D191">
        <v>11950098.441</v>
      </c>
      <c r="E191">
        <v>4638</v>
      </c>
      <c r="F191">
        <v>0</v>
      </c>
      <c r="G191">
        <v>12802099.822000002</v>
      </c>
      <c r="H191">
        <f t="shared" si="2"/>
        <v>25709422.590559058</v>
      </c>
    </row>
    <row r="192" spans="1:8" x14ac:dyDescent="0.25">
      <c r="A192" t="s">
        <v>36</v>
      </c>
      <c r="B192" t="s">
        <v>19</v>
      </c>
      <c r="C192">
        <v>241817.54002054091</v>
      </c>
      <c r="D192">
        <v>2742233.1140000005</v>
      </c>
      <c r="E192">
        <v>1033</v>
      </c>
      <c r="F192">
        <v>0</v>
      </c>
      <c r="G192">
        <v>2851351.6870000004</v>
      </c>
      <c r="H192">
        <f t="shared" si="2"/>
        <v>5835402.3410205413</v>
      </c>
    </row>
    <row r="193" spans="1:9" x14ac:dyDescent="0.25">
      <c r="A193" t="s">
        <v>36</v>
      </c>
      <c r="B193" t="s">
        <v>20</v>
      </c>
      <c r="C193">
        <v>342036.67876298074</v>
      </c>
      <c r="D193">
        <v>3919073.2170000002</v>
      </c>
      <c r="E193">
        <v>1402</v>
      </c>
      <c r="F193">
        <v>0</v>
      </c>
      <c r="G193">
        <v>3869888.7349999999</v>
      </c>
      <c r="H193">
        <f t="shared" si="2"/>
        <v>8130998.6307629813</v>
      </c>
    </row>
    <row r="194" spans="1:9" x14ac:dyDescent="0.25">
      <c r="A194" t="s">
        <v>36</v>
      </c>
      <c r="B194" t="s">
        <v>21</v>
      </c>
      <c r="C194">
        <v>214071.90733766975</v>
      </c>
      <c r="D194">
        <v>2596875.1950000003</v>
      </c>
      <c r="E194">
        <v>1015</v>
      </c>
      <c r="F194">
        <v>0</v>
      </c>
      <c r="G194">
        <v>2801666.9489999991</v>
      </c>
      <c r="H194">
        <f t="shared" si="2"/>
        <v>5612614.0513376687</v>
      </c>
    </row>
    <row r="195" spans="1:9" x14ac:dyDescent="0.25">
      <c r="A195" t="s">
        <v>36</v>
      </c>
      <c r="B195" t="s">
        <v>22</v>
      </c>
      <c r="C195">
        <v>201395.02343946137</v>
      </c>
      <c r="D195">
        <v>2462698.6520000002</v>
      </c>
      <c r="E195">
        <v>917</v>
      </c>
      <c r="F195">
        <v>0</v>
      </c>
      <c r="G195">
        <v>2531161.1720000007</v>
      </c>
      <c r="H195">
        <f t="shared" ref="H195:H258" si="3">+D195+C195+G195</f>
        <v>5195254.8474394623</v>
      </c>
    </row>
    <row r="196" spans="1:9" x14ac:dyDescent="0.25">
      <c r="A196" t="s">
        <v>36</v>
      </c>
      <c r="B196" t="s">
        <v>23</v>
      </c>
      <c r="C196">
        <v>107633.91989044848</v>
      </c>
      <c r="D196">
        <v>1311016.6509999996</v>
      </c>
      <c r="E196">
        <v>499</v>
      </c>
      <c r="F196">
        <v>0</v>
      </c>
      <c r="G196">
        <v>1377371.2380000004</v>
      </c>
      <c r="H196">
        <f t="shared" si="3"/>
        <v>2796021.8088904484</v>
      </c>
    </row>
    <row r="197" spans="1:9" x14ac:dyDescent="0.25">
      <c r="A197" t="s">
        <v>36</v>
      </c>
      <c r="B197" t="s">
        <v>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f t="shared" si="3"/>
        <v>0</v>
      </c>
    </row>
    <row r="198" spans="1:9" s="1" customFormat="1" x14ac:dyDescent="0.25">
      <c r="A198" s="1" t="s">
        <v>38</v>
      </c>
      <c r="B198" s="1" t="s">
        <v>0</v>
      </c>
      <c r="C198" s="1">
        <v>1201106.6371265317</v>
      </c>
      <c r="D198" s="1">
        <v>15231965.742999999</v>
      </c>
      <c r="E198" s="1">
        <v>13708</v>
      </c>
      <c r="F198" s="1">
        <v>0</v>
      </c>
      <c r="G198" s="1">
        <v>15378907.219000002</v>
      </c>
      <c r="H198" s="1">
        <f t="shared" si="3"/>
        <v>31811979.599126533</v>
      </c>
      <c r="I198"/>
    </row>
    <row r="199" spans="1:9" x14ac:dyDescent="0.25">
      <c r="A199" t="s">
        <v>38</v>
      </c>
      <c r="B199" t="s">
        <v>1</v>
      </c>
      <c r="C199">
        <v>851443.95292333304</v>
      </c>
      <c r="D199">
        <v>11168936.889</v>
      </c>
      <c r="E199">
        <v>10287</v>
      </c>
      <c r="F199">
        <v>0</v>
      </c>
      <c r="G199">
        <v>11540911.767999997</v>
      </c>
      <c r="H199">
        <f t="shared" si="3"/>
        <v>23561292.609923333</v>
      </c>
    </row>
    <row r="200" spans="1:9" x14ac:dyDescent="0.25">
      <c r="A200" t="s">
        <v>38</v>
      </c>
      <c r="B200" t="s">
        <v>2</v>
      </c>
      <c r="C200">
        <v>571188.655096389</v>
      </c>
      <c r="D200">
        <v>7281606.5779999997</v>
      </c>
      <c r="E200">
        <v>6558</v>
      </c>
      <c r="F200">
        <v>0</v>
      </c>
      <c r="G200">
        <v>7357373.3249999993</v>
      </c>
      <c r="H200">
        <f t="shared" si="3"/>
        <v>15210168.558096388</v>
      </c>
    </row>
    <row r="201" spans="1:9" x14ac:dyDescent="0.25">
      <c r="A201" t="s">
        <v>38</v>
      </c>
      <c r="B201" t="s">
        <v>3</v>
      </c>
      <c r="C201">
        <v>457406.05447957839</v>
      </c>
      <c r="D201">
        <v>6240592.699000001</v>
      </c>
      <c r="E201">
        <v>5738</v>
      </c>
      <c r="F201">
        <v>0</v>
      </c>
      <c r="G201">
        <v>6437421.1850000005</v>
      </c>
      <c r="H201">
        <f t="shared" si="3"/>
        <v>13135419.93847958</v>
      </c>
    </row>
    <row r="202" spans="1:9" x14ac:dyDescent="0.25">
      <c r="A202" t="s">
        <v>38</v>
      </c>
      <c r="B202" t="s">
        <v>4</v>
      </c>
      <c r="C202">
        <v>1703675.631543244</v>
      </c>
      <c r="D202">
        <v>21848114.082000002</v>
      </c>
      <c r="E202">
        <v>20242</v>
      </c>
      <c r="F202">
        <v>0</v>
      </c>
      <c r="G202">
        <v>22709355.110000003</v>
      </c>
      <c r="H202">
        <f t="shared" si="3"/>
        <v>46261144.823543251</v>
      </c>
    </row>
    <row r="203" spans="1:9" x14ac:dyDescent="0.25">
      <c r="A203" t="s">
        <v>38</v>
      </c>
      <c r="B203" t="s">
        <v>5</v>
      </c>
      <c r="C203">
        <v>1669015.7008938158</v>
      </c>
      <c r="D203">
        <v>21446203.659000002</v>
      </c>
      <c r="E203">
        <v>19882</v>
      </c>
      <c r="F203">
        <v>0</v>
      </c>
      <c r="G203">
        <v>22305473.679999996</v>
      </c>
      <c r="H203">
        <f t="shared" si="3"/>
        <v>45420693.039893813</v>
      </c>
    </row>
    <row r="204" spans="1:9" x14ac:dyDescent="0.25">
      <c r="A204" t="s">
        <v>38</v>
      </c>
      <c r="B204" t="s">
        <v>6</v>
      </c>
      <c r="C204">
        <v>780811.21546351304</v>
      </c>
      <c r="D204">
        <v>10081802.139</v>
      </c>
      <c r="E204">
        <v>9613</v>
      </c>
      <c r="F204">
        <v>0</v>
      </c>
      <c r="G204">
        <v>10784755.985000005</v>
      </c>
      <c r="H204">
        <f t="shared" si="3"/>
        <v>21647369.339463517</v>
      </c>
    </row>
    <row r="205" spans="1:9" x14ac:dyDescent="0.25">
      <c r="A205" t="s">
        <v>38</v>
      </c>
      <c r="B205" t="s">
        <v>7</v>
      </c>
      <c r="C205">
        <v>1151392.3931647253</v>
      </c>
      <c r="D205">
        <v>14547839.532</v>
      </c>
      <c r="E205">
        <v>15612</v>
      </c>
      <c r="F205">
        <v>0</v>
      </c>
      <c r="G205">
        <v>17514991.205999997</v>
      </c>
      <c r="H205">
        <f t="shared" si="3"/>
        <v>33214223.131164722</v>
      </c>
    </row>
    <row r="206" spans="1:9" x14ac:dyDescent="0.25">
      <c r="A206" t="s">
        <v>38</v>
      </c>
      <c r="B206" t="s">
        <v>8</v>
      </c>
      <c r="C206">
        <v>787.72569657791928</v>
      </c>
      <c r="D206">
        <v>14275.508</v>
      </c>
      <c r="E206">
        <v>14</v>
      </c>
      <c r="F206">
        <v>0</v>
      </c>
      <c r="G206">
        <v>15706.501</v>
      </c>
      <c r="H206">
        <f t="shared" si="3"/>
        <v>30769.734696577922</v>
      </c>
    </row>
    <row r="207" spans="1:9" x14ac:dyDescent="0.25">
      <c r="A207" t="s">
        <v>38</v>
      </c>
      <c r="B207" t="s">
        <v>9</v>
      </c>
      <c r="C207">
        <v>4381417.849443784</v>
      </c>
      <c r="D207">
        <v>55780993.719000004</v>
      </c>
      <c r="E207">
        <v>53525</v>
      </c>
      <c r="F207">
        <v>0</v>
      </c>
      <c r="G207">
        <v>60049314.903000005</v>
      </c>
      <c r="H207">
        <f t="shared" si="3"/>
        <v>120211726.4714438</v>
      </c>
    </row>
    <row r="208" spans="1:9" x14ac:dyDescent="0.25">
      <c r="A208" t="s">
        <v>38</v>
      </c>
      <c r="B208" t="s">
        <v>10</v>
      </c>
      <c r="C208">
        <v>1301235.325669325</v>
      </c>
      <c r="D208">
        <v>16657320.189999999</v>
      </c>
      <c r="E208">
        <v>15151</v>
      </c>
      <c r="F208">
        <v>0</v>
      </c>
      <c r="G208">
        <v>16997798.597999997</v>
      </c>
      <c r="H208">
        <f t="shared" si="3"/>
        <v>34956354.113669321</v>
      </c>
    </row>
    <row r="209" spans="1:9" x14ac:dyDescent="0.25">
      <c r="A209" t="s">
        <v>38</v>
      </c>
      <c r="B209" t="s">
        <v>11</v>
      </c>
      <c r="C209">
        <v>1274977.8024500611</v>
      </c>
      <c r="D209">
        <v>16681478.738999996</v>
      </c>
      <c r="E209">
        <v>15221</v>
      </c>
      <c r="F209">
        <v>0</v>
      </c>
      <c r="G209">
        <v>17076331.097000003</v>
      </c>
      <c r="H209">
        <f t="shared" si="3"/>
        <v>35032787.638450056</v>
      </c>
    </row>
    <row r="210" spans="1:9" x14ac:dyDescent="0.25">
      <c r="A210" t="s">
        <v>38</v>
      </c>
      <c r="B210" t="s">
        <v>12</v>
      </c>
      <c r="C210">
        <v>1894480.3002698955</v>
      </c>
      <c r="D210">
        <v>24117919.661000002</v>
      </c>
      <c r="E210">
        <v>23488</v>
      </c>
      <c r="F210">
        <v>0</v>
      </c>
      <c r="G210">
        <v>26351019.306999996</v>
      </c>
      <c r="H210">
        <f t="shared" si="3"/>
        <v>52363419.268269897</v>
      </c>
    </row>
    <row r="211" spans="1:9" x14ac:dyDescent="0.25">
      <c r="A211" t="s">
        <v>38</v>
      </c>
      <c r="B211" t="s">
        <v>13</v>
      </c>
      <c r="C211">
        <v>3173046.630893256</v>
      </c>
      <c r="D211">
        <v>40027422.919000015</v>
      </c>
      <c r="E211">
        <v>39797</v>
      </c>
      <c r="F211">
        <v>0</v>
      </c>
      <c r="G211">
        <v>44647969.825999983</v>
      </c>
      <c r="H211">
        <f t="shared" si="3"/>
        <v>87848439.37589325</v>
      </c>
    </row>
    <row r="212" spans="1:9" x14ac:dyDescent="0.25">
      <c r="A212" t="s">
        <v>38</v>
      </c>
      <c r="B212" t="s">
        <v>14</v>
      </c>
      <c r="C212">
        <v>378545.95974438894</v>
      </c>
      <c r="D212">
        <v>4955797.0860000001</v>
      </c>
      <c r="E212">
        <v>4734</v>
      </c>
      <c r="F212">
        <v>0</v>
      </c>
      <c r="G212">
        <v>5311040.7600000007</v>
      </c>
      <c r="H212">
        <f t="shared" si="3"/>
        <v>10645383.805744391</v>
      </c>
    </row>
    <row r="213" spans="1:9" x14ac:dyDescent="0.25">
      <c r="A213" t="s">
        <v>38</v>
      </c>
      <c r="B213" t="s">
        <v>15</v>
      </c>
      <c r="C213">
        <v>259686.9046385207</v>
      </c>
      <c r="D213">
        <v>3353645.9800000004</v>
      </c>
      <c r="E213">
        <v>3120</v>
      </c>
      <c r="F213">
        <v>0</v>
      </c>
      <c r="G213">
        <v>3500305.6989999996</v>
      </c>
      <c r="H213">
        <f t="shared" si="3"/>
        <v>7113638.5836385209</v>
      </c>
    </row>
    <row r="214" spans="1:9" x14ac:dyDescent="0.25">
      <c r="A214" t="s">
        <v>38</v>
      </c>
      <c r="B214" t="s">
        <v>16</v>
      </c>
      <c r="C214">
        <v>263800.58327620541</v>
      </c>
      <c r="D214">
        <v>3430514.0930000003</v>
      </c>
      <c r="E214">
        <v>3212</v>
      </c>
      <c r="F214">
        <v>0</v>
      </c>
      <c r="G214">
        <v>3603519.8429999994</v>
      </c>
      <c r="H214">
        <f t="shared" si="3"/>
        <v>7297834.5192762055</v>
      </c>
    </row>
    <row r="215" spans="1:9" x14ac:dyDescent="0.25">
      <c r="A215" t="s">
        <v>38</v>
      </c>
      <c r="B215" t="s">
        <v>17</v>
      </c>
      <c r="C215">
        <v>179864.03405195824</v>
      </c>
      <c r="D215">
        <v>2285179.2030000002</v>
      </c>
      <c r="E215">
        <v>2168</v>
      </c>
      <c r="F215">
        <v>0</v>
      </c>
      <c r="G215">
        <v>2432263.7039999999</v>
      </c>
      <c r="H215">
        <f t="shared" si="3"/>
        <v>4897306.9410519581</v>
      </c>
    </row>
    <row r="216" spans="1:9" x14ac:dyDescent="0.25">
      <c r="A216" t="s">
        <v>38</v>
      </c>
      <c r="B216" t="s">
        <v>18</v>
      </c>
      <c r="C216">
        <v>1800478.3671449306</v>
      </c>
      <c r="D216">
        <v>23712714.893999994</v>
      </c>
      <c r="E216">
        <v>21602</v>
      </c>
      <c r="F216">
        <v>0</v>
      </c>
      <c r="G216">
        <v>24235129.384</v>
      </c>
      <c r="H216">
        <f t="shared" si="3"/>
        <v>49748322.645144925</v>
      </c>
    </row>
    <row r="217" spans="1:9" x14ac:dyDescent="0.25">
      <c r="A217" t="s">
        <v>38</v>
      </c>
      <c r="B217" t="s">
        <v>19</v>
      </c>
      <c r="C217">
        <v>632368.68419727404</v>
      </c>
      <c r="D217">
        <v>8087623.6530000009</v>
      </c>
      <c r="E217">
        <v>7639</v>
      </c>
      <c r="F217">
        <v>0</v>
      </c>
      <c r="G217">
        <v>8570139.4960000012</v>
      </c>
      <c r="H217">
        <f t="shared" si="3"/>
        <v>17290131.833197273</v>
      </c>
    </row>
    <row r="218" spans="1:9" x14ac:dyDescent="0.25">
      <c r="A218" t="s">
        <v>38</v>
      </c>
      <c r="B218" t="s">
        <v>20</v>
      </c>
      <c r="C218">
        <v>686546.70710635534</v>
      </c>
      <c r="D218">
        <v>8791515.9479999989</v>
      </c>
      <c r="E218">
        <v>7953</v>
      </c>
      <c r="F218">
        <v>0</v>
      </c>
      <c r="G218">
        <v>8922413.8499999996</v>
      </c>
      <c r="H218">
        <f t="shared" si="3"/>
        <v>18400476.505106352</v>
      </c>
    </row>
    <row r="219" spans="1:9" x14ac:dyDescent="0.25">
      <c r="A219" t="s">
        <v>38</v>
      </c>
      <c r="B219" t="s">
        <v>21</v>
      </c>
      <c r="C219">
        <v>345636.53064291144</v>
      </c>
      <c r="D219">
        <v>4382580.5810000012</v>
      </c>
      <c r="E219">
        <v>4176</v>
      </c>
      <c r="F219">
        <v>0</v>
      </c>
      <c r="G219">
        <v>4685024.55</v>
      </c>
      <c r="H219">
        <f t="shared" si="3"/>
        <v>9413241.6616429128</v>
      </c>
    </row>
    <row r="220" spans="1:9" x14ac:dyDescent="0.25">
      <c r="A220" t="s">
        <v>38</v>
      </c>
      <c r="B220" t="s">
        <v>22</v>
      </c>
      <c r="C220">
        <v>1373618.564677096</v>
      </c>
      <c r="D220">
        <v>17969568.699999999</v>
      </c>
      <c r="E220">
        <v>16404</v>
      </c>
      <c r="F220">
        <v>0</v>
      </c>
      <c r="G220">
        <v>18403530.344000004</v>
      </c>
      <c r="H220">
        <f t="shared" si="3"/>
        <v>37746717.608677104</v>
      </c>
    </row>
    <row r="221" spans="1:9" x14ac:dyDescent="0.25">
      <c r="A221" t="s">
        <v>38</v>
      </c>
      <c r="B221" t="s">
        <v>23</v>
      </c>
      <c r="C221">
        <v>225377.07429868245</v>
      </c>
      <c r="D221">
        <v>2825452.2289999998</v>
      </c>
      <c r="E221">
        <v>2646</v>
      </c>
      <c r="F221">
        <v>0</v>
      </c>
      <c r="G221">
        <v>2968528.4889999996</v>
      </c>
      <c r="H221">
        <f t="shared" si="3"/>
        <v>6019357.792298682</v>
      </c>
    </row>
    <row r="222" spans="1:9" x14ac:dyDescent="0.25">
      <c r="A222" t="s">
        <v>38</v>
      </c>
      <c r="B222" t="s">
        <v>42</v>
      </c>
      <c r="C222">
        <v>34047.255107645615</v>
      </c>
      <c r="D222">
        <v>0</v>
      </c>
      <c r="E222">
        <v>0</v>
      </c>
      <c r="F222">
        <v>0</v>
      </c>
      <c r="G222">
        <v>0</v>
      </c>
      <c r="H222">
        <f t="shared" si="3"/>
        <v>34047.255107645615</v>
      </c>
    </row>
    <row r="223" spans="1:9" s="1" customFormat="1" x14ac:dyDescent="0.25">
      <c r="A223" s="1" t="s">
        <v>41</v>
      </c>
      <c r="B223" s="1" t="s">
        <v>0</v>
      </c>
      <c r="C223" s="1">
        <v>343122.64586574148</v>
      </c>
      <c r="D223" s="1">
        <v>4158311.7250000001</v>
      </c>
      <c r="E223" s="1">
        <v>3694</v>
      </c>
      <c r="F223" s="1">
        <v>0</v>
      </c>
      <c r="G223" s="1">
        <v>4295422.1429999992</v>
      </c>
      <c r="H223" s="1">
        <f t="shared" si="3"/>
        <v>8796856.513865741</v>
      </c>
      <c r="I223"/>
    </row>
    <row r="224" spans="1:9" x14ac:dyDescent="0.25">
      <c r="A224" t="s">
        <v>41</v>
      </c>
      <c r="B224" t="s">
        <v>1</v>
      </c>
      <c r="C224">
        <v>174524.22043198996</v>
      </c>
      <c r="D224">
        <v>2177161.344</v>
      </c>
      <c r="E224">
        <v>1932</v>
      </c>
      <c r="F224">
        <v>0</v>
      </c>
      <c r="G224">
        <v>2246549.9679999999</v>
      </c>
      <c r="H224">
        <f t="shared" si="3"/>
        <v>4598235.5324319899</v>
      </c>
    </row>
    <row r="225" spans="1:8" x14ac:dyDescent="0.25">
      <c r="A225" t="s">
        <v>41</v>
      </c>
      <c r="B225" t="s">
        <v>2</v>
      </c>
      <c r="C225">
        <v>148240.45229464208</v>
      </c>
      <c r="D225">
        <v>1772957.9419999996</v>
      </c>
      <c r="E225">
        <v>1593</v>
      </c>
      <c r="F225">
        <v>0</v>
      </c>
      <c r="G225">
        <v>1852357.192</v>
      </c>
      <c r="H225">
        <f t="shared" si="3"/>
        <v>3773555.5862946417</v>
      </c>
    </row>
    <row r="226" spans="1:8" x14ac:dyDescent="0.25">
      <c r="A226" t="s">
        <v>41</v>
      </c>
      <c r="B226" t="s">
        <v>3</v>
      </c>
      <c r="C226">
        <v>83247.861991381855</v>
      </c>
      <c r="D226">
        <v>1001095.5520000001</v>
      </c>
      <c r="E226">
        <v>897</v>
      </c>
      <c r="F226">
        <v>0</v>
      </c>
      <c r="G226">
        <v>1043041.0539999999</v>
      </c>
      <c r="H226">
        <f t="shared" si="3"/>
        <v>2127384.4679913819</v>
      </c>
    </row>
    <row r="227" spans="1:8" x14ac:dyDescent="0.25">
      <c r="A227" t="s">
        <v>41</v>
      </c>
      <c r="B227" t="s">
        <v>4</v>
      </c>
      <c r="C227">
        <v>255382.64895634018</v>
      </c>
      <c r="D227">
        <v>3012145.9099999992</v>
      </c>
      <c r="E227">
        <v>2659</v>
      </c>
      <c r="F227">
        <v>0</v>
      </c>
      <c r="G227">
        <v>3091913.227</v>
      </c>
      <c r="H227">
        <f t="shared" si="3"/>
        <v>6359441.7859563399</v>
      </c>
    </row>
    <row r="228" spans="1:8" x14ac:dyDescent="0.25">
      <c r="A228" t="s">
        <v>41</v>
      </c>
      <c r="B228" t="s">
        <v>5</v>
      </c>
      <c r="C228">
        <v>250794.93669963948</v>
      </c>
      <c r="D228">
        <v>3100738.4380000005</v>
      </c>
      <c r="E228">
        <v>2777</v>
      </c>
      <c r="F228">
        <v>0</v>
      </c>
      <c r="G228">
        <v>3229124.8760000002</v>
      </c>
      <c r="H228">
        <f t="shared" si="3"/>
        <v>6580658.2506996403</v>
      </c>
    </row>
    <row r="229" spans="1:8" x14ac:dyDescent="0.25">
      <c r="A229" t="s">
        <v>41</v>
      </c>
      <c r="B229" t="s">
        <v>6</v>
      </c>
      <c r="C229">
        <v>250221.47266755186</v>
      </c>
      <c r="D229">
        <v>2963420.0219999994</v>
      </c>
      <c r="E229">
        <v>2625</v>
      </c>
      <c r="F229">
        <v>0</v>
      </c>
      <c r="G229">
        <v>3052377.674000001</v>
      </c>
      <c r="H229">
        <f t="shared" si="3"/>
        <v>6266019.168667553</v>
      </c>
    </row>
    <row r="230" spans="1:8" x14ac:dyDescent="0.25">
      <c r="A230" t="s">
        <v>41</v>
      </c>
      <c r="B230" t="s">
        <v>7</v>
      </c>
      <c r="C230">
        <v>364818.70174638863</v>
      </c>
      <c r="D230">
        <v>4475030.0080000013</v>
      </c>
      <c r="E230">
        <v>4376</v>
      </c>
      <c r="F230">
        <v>0</v>
      </c>
      <c r="G230">
        <v>5088458.9330000021</v>
      </c>
      <c r="H230">
        <f t="shared" si="3"/>
        <v>9928307.6427463926</v>
      </c>
    </row>
    <row r="231" spans="1:8" x14ac:dyDescent="0.25">
      <c r="A231" t="s">
        <v>41</v>
      </c>
      <c r="B231" t="s">
        <v>8</v>
      </c>
      <c r="C231">
        <v>477.88669340632521</v>
      </c>
      <c r="D231">
        <v>5537.0340000000006</v>
      </c>
      <c r="E231">
        <v>7</v>
      </c>
      <c r="F231">
        <v>0</v>
      </c>
      <c r="G231">
        <v>8139.6749999999993</v>
      </c>
      <c r="H231">
        <f t="shared" si="3"/>
        <v>14154.595693406325</v>
      </c>
    </row>
    <row r="232" spans="1:8" x14ac:dyDescent="0.25">
      <c r="A232" t="s">
        <v>41</v>
      </c>
      <c r="B232" t="s">
        <v>9</v>
      </c>
      <c r="C232">
        <v>1437674.3284435887</v>
      </c>
      <c r="D232">
        <v>16884628.200000003</v>
      </c>
      <c r="E232">
        <v>14978</v>
      </c>
      <c r="F232">
        <v>0</v>
      </c>
      <c r="G232">
        <v>17416576.297000002</v>
      </c>
      <c r="H232">
        <f t="shared" si="3"/>
        <v>35738878.825443596</v>
      </c>
    </row>
    <row r="233" spans="1:8" x14ac:dyDescent="0.25">
      <c r="A233" t="s">
        <v>41</v>
      </c>
      <c r="B233" t="s">
        <v>10</v>
      </c>
      <c r="C233">
        <v>228238.68477086094</v>
      </c>
      <c r="D233">
        <v>2798416.4420000007</v>
      </c>
      <c r="E233">
        <v>2493</v>
      </c>
      <c r="F233">
        <v>0</v>
      </c>
      <c r="G233">
        <v>2898886.6800000006</v>
      </c>
      <c r="H233">
        <f t="shared" si="3"/>
        <v>5925541.8067708621</v>
      </c>
    </row>
    <row r="234" spans="1:8" x14ac:dyDescent="0.25">
      <c r="A234" t="s">
        <v>41</v>
      </c>
      <c r="B234" t="s">
        <v>11</v>
      </c>
      <c r="C234">
        <v>315022.90829344961</v>
      </c>
      <c r="D234">
        <v>3801726.8060000013</v>
      </c>
      <c r="E234">
        <v>3450</v>
      </c>
      <c r="F234">
        <v>0</v>
      </c>
      <c r="G234">
        <v>4011696.3690000027</v>
      </c>
      <c r="H234">
        <f t="shared" si="3"/>
        <v>8128446.0832934538</v>
      </c>
    </row>
    <row r="235" spans="1:8" x14ac:dyDescent="0.25">
      <c r="A235" t="s">
        <v>41</v>
      </c>
      <c r="B235" t="s">
        <v>12</v>
      </c>
      <c r="C235">
        <v>442809.81011030095</v>
      </c>
      <c r="D235">
        <v>5222529.4560000012</v>
      </c>
      <c r="E235">
        <v>4770</v>
      </c>
      <c r="F235">
        <v>0</v>
      </c>
      <c r="G235">
        <v>5546606.2860000012</v>
      </c>
      <c r="H235">
        <f t="shared" si="3"/>
        <v>11211945.552110303</v>
      </c>
    </row>
    <row r="236" spans="1:8" x14ac:dyDescent="0.25">
      <c r="A236" t="s">
        <v>41</v>
      </c>
      <c r="B236" t="s">
        <v>13</v>
      </c>
      <c r="C236">
        <v>907697.98545597412</v>
      </c>
      <c r="D236">
        <v>11093999.164999997</v>
      </c>
      <c r="E236">
        <v>10480</v>
      </c>
      <c r="F236">
        <v>0</v>
      </c>
      <c r="G236">
        <v>12186254.479000004</v>
      </c>
      <c r="H236">
        <f t="shared" si="3"/>
        <v>24187951.629455976</v>
      </c>
    </row>
    <row r="237" spans="1:8" x14ac:dyDescent="0.25">
      <c r="A237" t="s">
        <v>41</v>
      </c>
      <c r="B237" t="s">
        <v>14</v>
      </c>
      <c r="C237">
        <v>153306.05124474911</v>
      </c>
      <c r="D237">
        <v>1994439.2600000002</v>
      </c>
      <c r="E237">
        <v>1803</v>
      </c>
      <c r="F237">
        <v>0</v>
      </c>
      <c r="G237">
        <v>2096547.4100000004</v>
      </c>
      <c r="H237">
        <f t="shared" si="3"/>
        <v>4244292.7212447496</v>
      </c>
    </row>
    <row r="238" spans="1:8" x14ac:dyDescent="0.25">
      <c r="A238" t="s">
        <v>41</v>
      </c>
      <c r="B238" t="s">
        <v>15</v>
      </c>
      <c r="C238">
        <v>99400.432228515652</v>
      </c>
      <c r="D238">
        <v>1366539.7280000001</v>
      </c>
      <c r="E238">
        <v>1308</v>
      </c>
      <c r="F238">
        <v>0</v>
      </c>
      <c r="G238">
        <v>1520956.1900000002</v>
      </c>
      <c r="H238">
        <f t="shared" si="3"/>
        <v>2986896.3502285159</v>
      </c>
    </row>
    <row r="239" spans="1:8" x14ac:dyDescent="0.25">
      <c r="A239" t="s">
        <v>41</v>
      </c>
      <c r="B239" t="s">
        <v>16</v>
      </c>
      <c r="C239">
        <v>118993.78665817497</v>
      </c>
      <c r="D239">
        <v>1504965.5500000003</v>
      </c>
      <c r="E239">
        <v>1354</v>
      </c>
      <c r="F239">
        <v>0</v>
      </c>
      <c r="G239">
        <v>1574445.4749999999</v>
      </c>
      <c r="H239">
        <f t="shared" si="3"/>
        <v>3198404.8116581752</v>
      </c>
    </row>
    <row r="240" spans="1:8" x14ac:dyDescent="0.25">
      <c r="A240" t="s">
        <v>41</v>
      </c>
      <c r="B240" t="s">
        <v>17</v>
      </c>
      <c r="C240">
        <v>50655.989501070471</v>
      </c>
      <c r="D240">
        <v>735317.97299999988</v>
      </c>
      <c r="E240">
        <v>715</v>
      </c>
      <c r="F240">
        <v>0</v>
      </c>
      <c r="G240">
        <v>831409.53700000001</v>
      </c>
      <c r="H240">
        <f t="shared" si="3"/>
        <v>1617383.4995010705</v>
      </c>
    </row>
    <row r="241" spans="1:9" x14ac:dyDescent="0.25">
      <c r="A241" t="s">
        <v>41</v>
      </c>
      <c r="B241" t="s">
        <v>18</v>
      </c>
      <c r="C241">
        <v>550238.73878804292</v>
      </c>
      <c r="D241">
        <v>7159383.5710000014</v>
      </c>
      <c r="E241">
        <v>6470</v>
      </c>
      <c r="F241">
        <v>0</v>
      </c>
      <c r="G241">
        <v>7523384.2040000018</v>
      </c>
      <c r="H241">
        <f t="shared" si="3"/>
        <v>15233006.513788046</v>
      </c>
    </row>
    <row r="242" spans="1:9" x14ac:dyDescent="0.25">
      <c r="A242" t="s">
        <v>41</v>
      </c>
      <c r="B242" t="s">
        <v>19</v>
      </c>
      <c r="C242">
        <v>255764.95831106527</v>
      </c>
      <c r="D242">
        <v>3040938.4810000006</v>
      </c>
      <c r="E242">
        <v>2722</v>
      </c>
      <c r="F242">
        <v>0</v>
      </c>
      <c r="G242">
        <v>3165170.2950000004</v>
      </c>
      <c r="H242">
        <f t="shared" si="3"/>
        <v>6461873.7343110666</v>
      </c>
    </row>
    <row r="243" spans="1:9" x14ac:dyDescent="0.25">
      <c r="A243" t="s">
        <v>41</v>
      </c>
      <c r="B243" t="s">
        <v>20</v>
      </c>
      <c r="C243">
        <v>219254.41493482201</v>
      </c>
      <c r="D243">
        <v>2767409.0559999994</v>
      </c>
      <c r="E243">
        <v>2447</v>
      </c>
      <c r="F243">
        <v>0</v>
      </c>
      <c r="G243">
        <v>2845397.3960000002</v>
      </c>
      <c r="H243">
        <f t="shared" si="3"/>
        <v>5832060.866934821</v>
      </c>
    </row>
    <row r="244" spans="1:9" x14ac:dyDescent="0.25">
      <c r="A244" t="s">
        <v>41</v>
      </c>
      <c r="B244" t="s">
        <v>21</v>
      </c>
      <c r="C244">
        <v>127500.16980080758</v>
      </c>
      <c r="D244">
        <v>1637854.3389999999</v>
      </c>
      <c r="E244">
        <v>1479</v>
      </c>
      <c r="F244">
        <v>0</v>
      </c>
      <c r="G244">
        <v>1719796.7909999997</v>
      </c>
      <c r="H244">
        <f t="shared" si="3"/>
        <v>3485151.2998008071</v>
      </c>
    </row>
    <row r="245" spans="1:9" x14ac:dyDescent="0.25">
      <c r="A245" t="s">
        <v>41</v>
      </c>
      <c r="B245" t="s">
        <v>22</v>
      </c>
      <c r="C245">
        <v>188191.77986341086</v>
      </c>
      <c r="D245">
        <v>2272398.3099999996</v>
      </c>
      <c r="E245">
        <v>2011</v>
      </c>
      <c r="F245">
        <v>0</v>
      </c>
      <c r="G245">
        <v>2338412</v>
      </c>
      <c r="H245">
        <f t="shared" si="3"/>
        <v>4799002.0898634102</v>
      </c>
    </row>
    <row r="246" spans="1:9" x14ac:dyDescent="0.25">
      <c r="A246" t="s">
        <v>41</v>
      </c>
      <c r="B246" t="s">
        <v>23</v>
      </c>
      <c r="C246">
        <v>79615.923121493775</v>
      </c>
      <c r="D246">
        <v>991128.89300000004</v>
      </c>
      <c r="E246">
        <v>891</v>
      </c>
      <c r="F246">
        <v>0</v>
      </c>
      <c r="G246">
        <v>1036064.194</v>
      </c>
      <c r="H246">
        <f t="shared" si="3"/>
        <v>2106809.0101214941</v>
      </c>
    </row>
    <row r="247" spans="1:9" x14ac:dyDescent="0.25">
      <c r="A247" t="s">
        <v>41</v>
      </c>
      <c r="B247" t="s">
        <v>42</v>
      </c>
      <c r="C247">
        <v>8219.6511265887948</v>
      </c>
      <c r="D247">
        <v>0</v>
      </c>
      <c r="E247">
        <v>0</v>
      </c>
      <c r="F247">
        <v>0</v>
      </c>
      <c r="G247">
        <v>0</v>
      </c>
      <c r="H247">
        <f t="shared" si="3"/>
        <v>8219.6511265887948</v>
      </c>
    </row>
    <row r="248" spans="1:9" s="1" customFormat="1" x14ac:dyDescent="0.25">
      <c r="A248" s="1" t="s">
        <v>39</v>
      </c>
      <c r="B248" s="1" t="s">
        <v>0</v>
      </c>
      <c r="C248" s="1">
        <v>12583.291733439111</v>
      </c>
      <c r="D248" s="1">
        <v>0</v>
      </c>
      <c r="E248" s="1">
        <v>0</v>
      </c>
      <c r="F248" s="1">
        <v>0</v>
      </c>
      <c r="G248" s="1">
        <v>0</v>
      </c>
      <c r="H248" s="1">
        <f t="shared" si="3"/>
        <v>12583.291733439111</v>
      </c>
      <c r="I248"/>
    </row>
    <row r="249" spans="1:9" x14ac:dyDescent="0.25">
      <c r="A249" t="s">
        <v>39</v>
      </c>
      <c r="B249" t="s">
        <v>1</v>
      </c>
      <c r="C249">
        <v>1562.3550138833796</v>
      </c>
      <c r="D249">
        <v>0</v>
      </c>
      <c r="E249">
        <v>0</v>
      </c>
      <c r="F249">
        <v>0</v>
      </c>
      <c r="G249">
        <v>0</v>
      </c>
      <c r="H249">
        <f t="shared" si="3"/>
        <v>1562.3550138833796</v>
      </c>
    </row>
    <row r="250" spans="1:9" x14ac:dyDescent="0.25">
      <c r="A250" t="s">
        <v>39</v>
      </c>
      <c r="B250" t="s">
        <v>2</v>
      </c>
      <c r="C250">
        <v>3124.7100277667591</v>
      </c>
      <c r="D250">
        <v>0</v>
      </c>
      <c r="E250">
        <v>0</v>
      </c>
      <c r="F250">
        <v>0</v>
      </c>
      <c r="G250">
        <v>0</v>
      </c>
      <c r="H250">
        <f t="shared" si="3"/>
        <v>3124.7100277667591</v>
      </c>
    </row>
    <row r="251" spans="1:9" x14ac:dyDescent="0.25">
      <c r="A251" t="s">
        <v>39</v>
      </c>
      <c r="B251" t="s">
        <v>3</v>
      </c>
      <c r="C251">
        <v>2195.7421816739388</v>
      </c>
      <c r="D251">
        <v>0</v>
      </c>
      <c r="E251">
        <v>0</v>
      </c>
      <c r="F251">
        <v>0</v>
      </c>
      <c r="G251">
        <v>0</v>
      </c>
      <c r="H251">
        <f t="shared" si="3"/>
        <v>2195.7421816739388</v>
      </c>
    </row>
    <row r="252" spans="1:9" x14ac:dyDescent="0.25">
      <c r="A252" t="s">
        <v>39</v>
      </c>
      <c r="B252" t="s">
        <v>4</v>
      </c>
      <c r="C252">
        <v>2913.5809718365731</v>
      </c>
      <c r="D252">
        <v>0</v>
      </c>
      <c r="E252">
        <v>0</v>
      </c>
      <c r="F252">
        <v>0</v>
      </c>
      <c r="G252">
        <v>0</v>
      </c>
      <c r="H252">
        <f t="shared" si="3"/>
        <v>2913.5809718365731</v>
      </c>
    </row>
    <row r="253" spans="1:9" x14ac:dyDescent="0.25">
      <c r="A253" t="s">
        <v>39</v>
      </c>
      <c r="B253" t="s">
        <v>5</v>
      </c>
      <c r="C253">
        <v>2660.2261047203492</v>
      </c>
      <c r="D253">
        <v>0</v>
      </c>
      <c r="E253">
        <v>0</v>
      </c>
      <c r="F253">
        <v>0</v>
      </c>
      <c r="G253">
        <v>0</v>
      </c>
      <c r="H253">
        <f t="shared" si="3"/>
        <v>2660.2261047203492</v>
      </c>
    </row>
    <row r="254" spans="1:9" x14ac:dyDescent="0.25">
      <c r="A254" t="s">
        <v>39</v>
      </c>
      <c r="B254" t="s">
        <v>6</v>
      </c>
      <c r="C254">
        <v>13343.356334787784</v>
      </c>
      <c r="D254">
        <v>0</v>
      </c>
      <c r="E254">
        <v>0</v>
      </c>
      <c r="F254">
        <v>0</v>
      </c>
      <c r="G254">
        <v>0</v>
      </c>
      <c r="H254">
        <f t="shared" si="3"/>
        <v>13343.356334787784</v>
      </c>
    </row>
    <row r="255" spans="1:9" x14ac:dyDescent="0.25">
      <c r="A255" t="s">
        <v>39</v>
      </c>
      <c r="B255" t="s">
        <v>7</v>
      </c>
      <c r="C255">
        <v>5616.0328877429592</v>
      </c>
      <c r="D255">
        <v>0</v>
      </c>
      <c r="E255">
        <v>0</v>
      </c>
      <c r="F255">
        <v>0</v>
      </c>
      <c r="G255">
        <v>0</v>
      </c>
      <c r="H255">
        <f t="shared" si="3"/>
        <v>5616.0328877429592</v>
      </c>
    </row>
    <row r="256" spans="1:9" x14ac:dyDescent="0.25">
      <c r="A256" t="s">
        <v>39</v>
      </c>
      <c r="B256" t="s">
        <v>8</v>
      </c>
      <c r="C256">
        <v>42.225811186037291</v>
      </c>
      <c r="D256">
        <v>0</v>
      </c>
      <c r="E256">
        <v>0</v>
      </c>
      <c r="F256">
        <v>0</v>
      </c>
      <c r="G256">
        <v>0</v>
      </c>
      <c r="H256">
        <f t="shared" si="3"/>
        <v>42.225811186037291</v>
      </c>
    </row>
    <row r="257" spans="1:8" x14ac:dyDescent="0.25">
      <c r="A257" t="s">
        <v>39</v>
      </c>
      <c r="B257" t="s">
        <v>9</v>
      </c>
      <c r="C257">
        <v>99821.81764379215</v>
      </c>
      <c r="D257">
        <v>0</v>
      </c>
      <c r="E257">
        <v>0</v>
      </c>
      <c r="F257">
        <v>0</v>
      </c>
      <c r="G257">
        <v>0</v>
      </c>
      <c r="H257">
        <f t="shared" si="3"/>
        <v>99821.81764379215</v>
      </c>
    </row>
    <row r="258" spans="1:8" x14ac:dyDescent="0.25">
      <c r="A258" t="s">
        <v>39</v>
      </c>
      <c r="B258" t="s">
        <v>10</v>
      </c>
      <c r="C258">
        <v>2153.5163704879014</v>
      </c>
      <c r="D258">
        <v>0</v>
      </c>
      <c r="E258">
        <v>0</v>
      </c>
      <c r="F258">
        <v>0</v>
      </c>
      <c r="G258">
        <v>0</v>
      </c>
      <c r="H258">
        <f t="shared" si="3"/>
        <v>2153.5163704879014</v>
      </c>
    </row>
    <row r="259" spans="1:8" x14ac:dyDescent="0.25">
      <c r="A259" t="s">
        <v>39</v>
      </c>
      <c r="B259" t="s">
        <v>11</v>
      </c>
      <c r="C259">
        <v>2829.1293494644983</v>
      </c>
      <c r="D259">
        <v>0</v>
      </c>
      <c r="E259">
        <v>0</v>
      </c>
      <c r="F259">
        <v>0</v>
      </c>
      <c r="G259">
        <v>0</v>
      </c>
      <c r="H259">
        <f t="shared" ref="H259:H297" si="4">+D259+C259+G259</f>
        <v>2829.1293494644983</v>
      </c>
    </row>
    <row r="260" spans="1:8" x14ac:dyDescent="0.25">
      <c r="A260" t="s">
        <v>39</v>
      </c>
      <c r="B260" t="s">
        <v>12</v>
      </c>
      <c r="C260">
        <v>14399.001614438715</v>
      </c>
      <c r="D260">
        <v>0</v>
      </c>
      <c r="E260">
        <v>0</v>
      </c>
      <c r="F260">
        <v>0</v>
      </c>
      <c r="G260">
        <v>0</v>
      </c>
      <c r="H260">
        <f t="shared" si="4"/>
        <v>14399.001614438715</v>
      </c>
    </row>
    <row r="261" spans="1:8" x14ac:dyDescent="0.25">
      <c r="A261" t="s">
        <v>39</v>
      </c>
      <c r="B261" t="s">
        <v>13</v>
      </c>
      <c r="C261">
        <v>16130.259873066245</v>
      </c>
      <c r="D261">
        <v>0</v>
      </c>
      <c r="E261">
        <v>0</v>
      </c>
      <c r="F261">
        <v>0</v>
      </c>
      <c r="G261">
        <v>0</v>
      </c>
      <c r="H261">
        <f t="shared" si="4"/>
        <v>16130.259873066245</v>
      </c>
    </row>
    <row r="262" spans="1:8" x14ac:dyDescent="0.25">
      <c r="A262" t="s">
        <v>39</v>
      </c>
      <c r="B262" t="s">
        <v>14</v>
      </c>
      <c r="C262">
        <v>760.0646013486712</v>
      </c>
      <c r="D262">
        <v>0</v>
      </c>
      <c r="E262">
        <v>0</v>
      </c>
      <c r="F262">
        <v>0</v>
      </c>
      <c r="G262">
        <v>0</v>
      </c>
      <c r="H262">
        <f t="shared" si="4"/>
        <v>760.0646013486712</v>
      </c>
    </row>
    <row r="263" spans="1:8" x14ac:dyDescent="0.25">
      <c r="A263" t="s">
        <v>39</v>
      </c>
      <c r="B263" t="s">
        <v>15</v>
      </c>
      <c r="C263">
        <v>337.80648948829833</v>
      </c>
      <c r="D263">
        <v>0</v>
      </c>
      <c r="E263">
        <v>0</v>
      </c>
      <c r="F263">
        <v>0</v>
      </c>
      <c r="G263">
        <v>0</v>
      </c>
      <c r="H263">
        <f t="shared" si="4"/>
        <v>337.80648948829833</v>
      </c>
    </row>
    <row r="264" spans="1:8" x14ac:dyDescent="0.25">
      <c r="A264" t="s">
        <v>39</v>
      </c>
      <c r="B264" t="s">
        <v>16</v>
      </c>
      <c r="C264">
        <v>971.19365727885759</v>
      </c>
      <c r="D264">
        <v>0</v>
      </c>
      <c r="E264">
        <v>0</v>
      </c>
      <c r="F264">
        <v>0</v>
      </c>
      <c r="G264">
        <v>0</v>
      </c>
      <c r="H264">
        <f t="shared" si="4"/>
        <v>971.19365727885759</v>
      </c>
    </row>
    <row r="265" spans="1:8" x14ac:dyDescent="0.25">
      <c r="A265" t="s">
        <v>39</v>
      </c>
      <c r="B265" t="s">
        <v>17</v>
      </c>
      <c r="C265">
        <v>675.61297897659665</v>
      </c>
      <c r="D265">
        <v>0</v>
      </c>
      <c r="E265">
        <v>0</v>
      </c>
      <c r="F265">
        <v>0</v>
      </c>
      <c r="G265">
        <v>0</v>
      </c>
      <c r="H265">
        <f t="shared" si="4"/>
        <v>675.61297897659665</v>
      </c>
    </row>
    <row r="266" spans="1:8" x14ac:dyDescent="0.25">
      <c r="A266" t="s">
        <v>39</v>
      </c>
      <c r="B266" t="s">
        <v>18</v>
      </c>
      <c r="C266">
        <v>9543.0333280444265</v>
      </c>
      <c r="D266">
        <v>0</v>
      </c>
      <c r="E266">
        <v>0</v>
      </c>
      <c r="F266">
        <v>0</v>
      </c>
      <c r="G266">
        <v>0</v>
      </c>
      <c r="H266">
        <f t="shared" si="4"/>
        <v>9543.0333280444265</v>
      </c>
    </row>
    <row r="267" spans="1:8" x14ac:dyDescent="0.25">
      <c r="A267" t="s">
        <v>39</v>
      </c>
      <c r="B267" t="s">
        <v>19</v>
      </c>
      <c r="C267">
        <v>2744.677727092424</v>
      </c>
      <c r="D267">
        <v>0</v>
      </c>
      <c r="E267">
        <v>0</v>
      </c>
      <c r="F267">
        <v>0</v>
      </c>
      <c r="G267">
        <v>0</v>
      </c>
      <c r="H267">
        <f t="shared" si="4"/>
        <v>2744.677727092424</v>
      </c>
    </row>
    <row r="268" spans="1:8" x14ac:dyDescent="0.25">
      <c r="A268" t="s">
        <v>39</v>
      </c>
      <c r="B268" t="s">
        <v>20</v>
      </c>
      <c r="C268">
        <v>6291.6458667195557</v>
      </c>
      <c r="D268">
        <v>0</v>
      </c>
      <c r="E268">
        <v>0</v>
      </c>
      <c r="F268">
        <v>0</v>
      </c>
      <c r="G268">
        <v>0</v>
      </c>
      <c r="H268">
        <f t="shared" si="4"/>
        <v>6291.6458667195557</v>
      </c>
    </row>
    <row r="269" spans="1:8" x14ac:dyDescent="0.25">
      <c r="A269" t="s">
        <v>39</v>
      </c>
      <c r="B269" t="s">
        <v>21</v>
      </c>
      <c r="C269">
        <v>380.0323006743356</v>
      </c>
      <c r="D269">
        <v>0</v>
      </c>
      <c r="E269">
        <v>0</v>
      </c>
      <c r="F269">
        <v>0</v>
      </c>
      <c r="G269">
        <v>0</v>
      </c>
      <c r="H269">
        <f t="shared" si="4"/>
        <v>380.0323006743356</v>
      </c>
    </row>
    <row r="270" spans="1:8" x14ac:dyDescent="0.25">
      <c r="A270" t="s">
        <v>39</v>
      </c>
      <c r="B270" t="s">
        <v>22</v>
      </c>
      <c r="C270">
        <v>11443.194831416105</v>
      </c>
      <c r="D270">
        <v>0</v>
      </c>
      <c r="E270">
        <v>0</v>
      </c>
      <c r="F270">
        <v>0</v>
      </c>
      <c r="G270">
        <v>0</v>
      </c>
      <c r="H270">
        <f t="shared" si="4"/>
        <v>11443.194831416105</v>
      </c>
    </row>
    <row r="271" spans="1:8" x14ac:dyDescent="0.25">
      <c r="A271" t="s">
        <v>39</v>
      </c>
      <c r="B271" t="s">
        <v>23</v>
      </c>
      <c r="C271">
        <v>337.80648948829833</v>
      </c>
      <c r="D271">
        <v>0</v>
      </c>
      <c r="E271">
        <v>0</v>
      </c>
      <c r="F271">
        <v>0</v>
      </c>
      <c r="G271">
        <v>0</v>
      </c>
      <c r="H271">
        <f t="shared" si="4"/>
        <v>337.80648948829833</v>
      </c>
    </row>
    <row r="272" spans="1:8" x14ac:dyDescent="0.25">
      <c r="A272" t="s">
        <v>39</v>
      </c>
      <c r="B272" t="s">
        <v>42</v>
      </c>
      <c r="C272">
        <v>42.225811186037291</v>
      </c>
      <c r="D272">
        <v>0</v>
      </c>
      <c r="E272">
        <v>0</v>
      </c>
      <c r="F272">
        <v>0</v>
      </c>
      <c r="G272">
        <v>0</v>
      </c>
      <c r="H272">
        <f t="shared" si="4"/>
        <v>42.225811186037291</v>
      </c>
    </row>
    <row r="273" spans="1:9" s="1" customFormat="1" x14ac:dyDescent="0.25">
      <c r="A273" s="1" t="s">
        <v>40</v>
      </c>
      <c r="B273" s="1" t="s">
        <v>0</v>
      </c>
      <c r="C273" s="1">
        <v>3423.0769230769233</v>
      </c>
      <c r="D273" s="1">
        <v>0</v>
      </c>
      <c r="E273" s="1">
        <v>0</v>
      </c>
      <c r="F273" s="1">
        <v>0</v>
      </c>
      <c r="G273" s="1">
        <v>0</v>
      </c>
      <c r="H273" s="1">
        <f t="shared" si="4"/>
        <v>3423.0769230769233</v>
      </c>
      <c r="I273"/>
    </row>
    <row r="274" spans="1:9" x14ac:dyDescent="0.25">
      <c r="A274" t="s">
        <v>40</v>
      </c>
      <c r="B274" t="s">
        <v>1</v>
      </c>
      <c r="C274">
        <v>319.48717948717945</v>
      </c>
      <c r="D274">
        <v>0</v>
      </c>
      <c r="E274">
        <v>0</v>
      </c>
      <c r="F274">
        <v>0</v>
      </c>
      <c r="G274">
        <v>0</v>
      </c>
      <c r="H274">
        <f t="shared" si="4"/>
        <v>319.48717948717945</v>
      </c>
    </row>
    <row r="275" spans="1:9" x14ac:dyDescent="0.25">
      <c r="A275" t="s">
        <v>40</v>
      </c>
      <c r="B275" t="s">
        <v>2</v>
      </c>
      <c r="C275">
        <v>775.89743589743591</v>
      </c>
      <c r="D275">
        <v>0</v>
      </c>
      <c r="E275">
        <v>0</v>
      </c>
      <c r="F275">
        <v>0</v>
      </c>
      <c r="G275">
        <v>0</v>
      </c>
      <c r="H275">
        <f t="shared" si="4"/>
        <v>775.89743589743591</v>
      </c>
    </row>
    <row r="276" spans="1:9" x14ac:dyDescent="0.25">
      <c r="A276" t="s">
        <v>40</v>
      </c>
      <c r="B276" t="s">
        <v>3</v>
      </c>
      <c r="C276">
        <v>593.33333333333337</v>
      </c>
      <c r="D276">
        <v>0</v>
      </c>
      <c r="E276">
        <v>0</v>
      </c>
      <c r="F276">
        <v>0</v>
      </c>
      <c r="G276">
        <v>0</v>
      </c>
      <c r="H276">
        <f t="shared" si="4"/>
        <v>593.33333333333337</v>
      </c>
    </row>
    <row r="277" spans="1:9" x14ac:dyDescent="0.25">
      <c r="A277" t="s">
        <v>40</v>
      </c>
      <c r="B277" t="s">
        <v>4</v>
      </c>
      <c r="C277">
        <v>1232.3076923076924</v>
      </c>
      <c r="D277">
        <v>0</v>
      </c>
      <c r="E277">
        <v>0</v>
      </c>
      <c r="F277">
        <v>0</v>
      </c>
      <c r="G277">
        <v>0</v>
      </c>
      <c r="H277">
        <f t="shared" si="4"/>
        <v>1232.3076923076924</v>
      </c>
    </row>
    <row r="278" spans="1:9" x14ac:dyDescent="0.25">
      <c r="A278" t="s">
        <v>40</v>
      </c>
      <c r="B278" t="s">
        <v>5</v>
      </c>
      <c r="C278">
        <v>502.05128205128204</v>
      </c>
      <c r="D278">
        <v>0</v>
      </c>
      <c r="E278">
        <v>0</v>
      </c>
      <c r="F278">
        <v>0</v>
      </c>
      <c r="G278">
        <v>0</v>
      </c>
      <c r="H278">
        <f t="shared" si="4"/>
        <v>502.05128205128204</v>
      </c>
    </row>
    <row r="279" spans="1:9" x14ac:dyDescent="0.25">
      <c r="A279" t="s">
        <v>40</v>
      </c>
      <c r="B279" t="s">
        <v>6</v>
      </c>
      <c r="C279">
        <v>4792.3076923076924</v>
      </c>
      <c r="D279">
        <v>0</v>
      </c>
      <c r="E279">
        <v>0</v>
      </c>
      <c r="F279">
        <v>0</v>
      </c>
      <c r="G279">
        <v>0</v>
      </c>
      <c r="H279">
        <f t="shared" si="4"/>
        <v>4792.3076923076924</v>
      </c>
    </row>
    <row r="280" spans="1:9" x14ac:dyDescent="0.25">
      <c r="A280" t="s">
        <v>40</v>
      </c>
      <c r="B280" t="s">
        <v>7</v>
      </c>
      <c r="C280">
        <v>3423.0769230769233</v>
      </c>
      <c r="D280">
        <v>0</v>
      </c>
      <c r="E280">
        <v>0</v>
      </c>
      <c r="F280">
        <v>0</v>
      </c>
      <c r="G280">
        <v>0</v>
      </c>
      <c r="H280">
        <f t="shared" si="4"/>
        <v>3423.0769230769233</v>
      </c>
    </row>
    <row r="281" spans="1:9" x14ac:dyDescent="0.25">
      <c r="A281" t="s">
        <v>40</v>
      </c>
      <c r="B281" t="s">
        <v>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f t="shared" si="4"/>
        <v>0</v>
      </c>
    </row>
    <row r="282" spans="1:9" x14ac:dyDescent="0.25">
      <c r="A282" t="s">
        <v>40</v>
      </c>
      <c r="B282" t="s">
        <v>9</v>
      </c>
      <c r="C282">
        <v>29255.897435897434</v>
      </c>
      <c r="D282">
        <v>0</v>
      </c>
      <c r="E282">
        <v>0</v>
      </c>
      <c r="F282">
        <v>0</v>
      </c>
      <c r="G282">
        <v>0</v>
      </c>
      <c r="H282">
        <f t="shared" si="4"/>
        <v>29255.897435897434</v>
      </c>
    </row>
    <row r="283" spans="1:9" x14ac:dyDescent="0.25">
      <c r="A283" t="s">
        <v>40</v>
      </c>
      <c r="B283" t="s">
        <v>10</v>
      </c>
      <c r="C283">
        <v>1551.7948717948718</v>
      </c>
      <c r="D283">
        <v>0</v>
      </c>
      <c r="E283">
        <v>0</v>
      </c>
      <c r="F283">
        <v>0</v>
      </c>
      <c r="G283">
        <v>0</v>
      </c>
      <c r="H283">
        <f t="shared" si="4"/>
        <v>1551.7948717948718</v>
      </c>
    </row>
    <row r="284" spans="1:9" x14ac:dyDescent="0.25">
      <c r="A284" t="s">
        <v>40</v>
      </c>
      <c r="B284" t="s">
        <v>11</v>
      </c>
      <c r="C284">
        <v>1323.5897435897436</v>
      </c>
      <c r="D284">
        <v>0</v>
      </c>
      <c r="E284">
        <v>0</v>
      </c>
      <c r="F284">
        <v>0</v>
      </c>
      <c r="G284">
        <v>0</v>
      </c>
      <c r="H284">
        <f t="shared" si="4"/>
        <v>1323.5897435897436</v>
      </c>
    </row>
    <row r="285" spans="1:9" x14ac:dyDescent="0.25">
      <c r="A285" t="s">
        <v>40</v>
      </c>
      <c r="B285" t="s">
        <v>12</v>
      </c>
      <c r="C285">
        <v>4244.6153846153848</v>
      </c>
      <c r="D285">
        <v>0</v>
      </c>
      <c r="E285">
        <v>0</v>
      </c>
      <c r="F285">
        <v>0</v>
      </c>
      <c r="G285">
        <v>0</v>
      </c>
      <c r="H285">
        <f t="shared" si="4"/>
        <v>4244.6153846153848</v>
      </c>
    </row>
    <row r="286" spans="1:9" x14ac:dyDescent="0.25">
      <c r="A286" t="s">
        <v>40</v>
      </c>
      <c r="B286" t="s">
        <v>13</v>
      </c>
      <c r="C286">
        <v>7165.6410256410263</v>
      </c>
      <c r="D286">
        <v>0</v>
      </c>
      <c r="E286">
        <v>0</v>
      </c>
      <c r="F286">
        <v>0</v>
      </c>
      <c r="G286">
        <v>0</v>
      </c>
      <c r="H286">
        <f t="shared" si="4"/>
        <v>7165.6410256410263</v>
      </c>
    </row>
    <row r="287" spans="1:9" x14ac:dyDescent="0.25">
      <c r="A287" t="s">
        <v>40</v>
      </c>
      <c r="B287" t="s">
        <v>14</v>
      </c>
      <c r="C287">
        <v>593.33333333333337</v>
      </c>
      <c r="D287">
        <v>0</v>
      </c>
      <c r="E287">
        <v>0</v>
      </c>
      <c r="F287">
        <v>0</v>
      </c>
      <c r="G287">
        <v>0</v>
      </c>
      <c r="H287">
        <f t="shared" si="4"/>
        <v>593.33333333333337</v>
      </c>
    </row>
    <row r="288" spans="1:9" x14ac:dyDescent="0.25">
      <c r="A288" t="s">
        <v>40</v>
      </c>
      <c r="B288" t="s">
        <v>15</v>
      </c>
      <c r="C288">
        <v>136.92307692307693</v>
      </c>
      <c r="D288">
        <v>0</v>
      </c>
      <c r="E288">
        <v>0</v>
      </c>
      <c r="F288">
        <v>0</v>
      </c>
      <c r="G288">
        <v>0</v>
      </c>
      <c r="H288">
        <f t="shared" si="4"/>
        <v>136.92307692307693</v>
      </c>
    </row>
    <row r="289" spans="1:8" x14ac:dyDescent="0.25">
      <c r="A289" t="s">
        <v>40</v>
      </c>
      <c r="B289" t="s">
        <v>16</v>
      </c>
      <c r="C289">
        <v>547.69230769230774</v>
      </c>
      <c r="D289">
        <v>0</v>
      </c>
      <c r="E289">
        <v>0</v>
      </c>
      <c r="F289">
        <v>0</v>
      </c>
      <c r="G289">
        <v>0</v>
      </c>
      <c r="H289">
        <f t="shared" si="4"/>
        <v>547.69230769230774</v>
      </c>
    </row>
    <row r="290" spans="1:8" x14ac:dyDescent="0.25">
      <c r="A290" t="s">
        <v>40</v>
      </c>
      <c r="B290" t="s">
        <v>17</v>
      </c>
      <c r="C290">
        <v>136.92307692307693</v>
      </c>
      <c r="D290">
        <v>0</v>
      </c>
      <c r="E290">
        <v>0</v>
      </c>
      <c r="F290">
        <v>0</v>
      </c>
      <c r="G290">
        <v>0</v>
      </c>
      <c r="H290">
        <f t="shared" si="4"/>
        <v>136.92307692307693</v>
      </c>
    </row>
    <row r="291" spans="1:8" x14ac:dyDescent="0.25">
      <c r="A291" t="s">
        <v>40</v>
      </c>
      <c r="B291" t="s">
        <v>18</v>
      </c>
      <c r="C291">
        <v>5248.7179487179492</v>
      </c>
      <c r="D291">
        <v>0</v>
      </c>
      <c r="E291">
        <v>0</v>
      </c>
      <c r="F291">
        <v>0</v>
      </c>
      <c r="G291">
        <v>0</v>
      </c>
      <c r="H291">
        <f t="shared" si="4"/>
        <v>5248.7179487179492</v>
      </c>
    </row>
    <row r="292" spans="1:8" x14ac:dyDescent="0.25">
      <c r="A292" t="s">
        <v>40</v>
      </c>
      <c r="B292" t="s">
        <v>19</v>
      </c>
      <c r="C292">
        <v>1141.0256410256409</v>
      </c>
      <c r="D292">
        <v>0</v>
      </c>
      <c r="E292">
        <v>0</v>
      </c>
      <c r="F292">
        <v>0</v>
      </c>
      <c r="G292">
        <v>0</v>
      </c>
      <c r="H292">
        <f t="shared" si="4"/>
        <v>1141.0256410256409</v>
      </c>
    </row>
    <row r="293" spans="1:8" x14ac:dyDescent="0.25">
      <c r="A293" t="s">
        <v>40</v>
      </c>
      <c r="B293" t="s">
        <v>20</v>
      </c>
      <c r="C293">
        <v>1780</v>
      </c>
      <c r="D293">
        <v>0</v>
      </c>
      <c r="E293">
        <v>0</v>
      </c>
      <c r="F293">
        <v>0</v>
      </c>
      <c r="G293">
        <v>0</v>
      </c>
      <c r="H293">
        <f t="shared" si="4"/>
        <v>1780</v>
      </c>
    </row>
    <row r="294" spans="1:8" x14ac:dyDescent="0.25">
      <c r="A294" t="s">
        <v>40</v>
      </c>
      <c r="B294" t="s">
        <v>21</v>
      </c>
      <c r="C294">
        <v>638.97435897435889</v>
      </c>
      <c r="D294">
        <v>0</v>
      </c>
      <c r="E294">
        <v>0</v>
      </c>
      <c r="F294">
        <v>0</v>
      </c>
      <c r="G294">
        <v>0</v>
      </c>
      <c r="H294">
        <f t="shared" si="4"/>
        <v>638.97435897435889</v>
      </c>
    </row>
    <row r="295" spans="1:8" x14ac:dyDescent="0.25">
      <c r="A295" t="s">
        <v>40</v>
      </c>
      <c r="B295" t="s">
        <v>22</v>
      </c>
      <c r="C295">
        <v>2190.7692307692309</v>
      </c>
      <c r="D295">
        <v>0</v>
      </c>
      <c r="E295">
        <v>0</v>
      </c>
      <c r="F295">
        <v>0</v>
      </c>
      <c r="G295">
        <v>0</v>
      </c>
      <c r="H295">
        <f t="shared" si="4"/>
        <v>2190.7692307692309</v>
      </c>
    </row>
    <row r="296" spans="1:8" x14ac:dyDescent="0.25">
      <c r="A296" t="s">
        <v>40</v>
      </c>
      <c r="B296" t="s">
        <v>23</v>
      </c>
      <c r="C296">
        <v>182.56410256410257</v>
      </c>
      <c r="D296">
        <v>0</v>
      </c>
      <c r="E296">
        <v>0</v>
      </c>
      <c r="F296">
        <v>0</v>
      </c>
      <c r="G296">
        <v>0</v>
      </c>
      <c r="H296">
        <f t="shared" si="4"/>
        <v>182.56410256410257</v>
      </c>
    </row>
    <row r="297" spans="1:8" x14ac:dyDescent="0.25">
      <c r="A297" t="s">
        <v>40</v>
      </c>
      <c r="B297" t="s">
        <v>42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f t="shared" si="4"/>
        <v>0</v>
      </c>
    </row>
  </sheetData>
  <autoFilter ref="A1:H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7"/>
  <sheetViews>
    <sheetView workbookViewId="0">
      <pane ySplit="1" topLeftCell="A53" activePane="bottomLeft" state="frozen"/>
      <selection pane="bottomLeft" activeCell="C77" sqref="C77"/>
    </sheetView>
  </sheetViews>
  <sheetFormatPr baseColWidth="10" defaultRowHeight="15" x14ac:dyDescent="0.25"/>
  <cols>
    <col min="1" max="1" width="31" bestFit="1" customWidth="1"/>
    <col min="6" max="6" width="17.85546875" bestFit="1" customWidth="1"/>
    <col min="7" max="7" width="21.5703125" bestFit="1" customWidth="1"/>
    <col min="8" max="8" width="11.85546875" bestFit="1" customWidth="1"/>
  </cols>
  <sheetData>
    <row r="1" spans="1:7" x14ac:dyDescent="0.25">
      <c r="A1" t="s">
        <v>25</v>
      </c>
      <c r="B1" t="s">
        <v>26</v>
      </c>
      <c r="C1" t="s">
        <v>24</v>
      </c>
      <c r="D1" t="s">
        <v>31</v>
      </c>
      <c r="E1" t="s">
        <v>43</v>
      </c>
      <c r="F1" t="s">
        <v>32</v>
      </c>
      <c r="G1" t="s">
        <v>33</v>
      </c>
    </row>
    <row r="2" spans="1:7" x14ac:dyDescent="0.25">
      <c r="A2" t="s">
        <v>27</v>
      </c>
      <c r="B2" t="s">
        <v>0</v>
      </c>
      <c r="C2">
        <v>559328.34009999875</v>
      </c>
      <c r="D2">
        <v>8367</v>
      </c>
      <c r="E2">
        <v>230</v>
      </c>
      <c r="F2">
        <v>3527503.7401000005</v>
      </c>
      <c r="G2">
        <f>+F2+C2</f>
        <v>4086832.0801999993</v>
      </c>
    </row>
    <row r="3" spans="1:7" x14ac:dyDescent="0.25">
      <c r="A3" t="s">
        <v>27</v>
      </c>
      <c r="B3" t="s">
        <v>1</v>
      </c>
      <c r="C3">
        <v>373306.17020000005</v>
      </c>
      <c r="D3">
        <v>5744</v>
      </c>
      <c r="E3">
        <v>159</v>
      </c>
      <c r="F3">
        <v>1928701.0699999998</v>
      </c>
      <c r="G3">
        <f t="shared" ref="G3:G66" si="0">+F3+C3</f>
        <v>2302007.2401999999</v>
      </c>
    </row>
    <row r="4" spans="1:7" x14ac:dyDescent="0.25">
      <c r="A4" t="s">
        <v>27</v>
      </c>
      <c r="B4" t="s">
        <v>2</v>
      </c>
      <c r="C4">
        <v>438273.41999999993</v>
      </c>
      <c r="D4">
        <v>4963</v>
      </c>
      <c r="E4">
        <v>143</v>
      </c>
      <c r="F4">
        <v>1537312.1095999999</v>
      </c>
      <c r="G4">
        <f t="shared" si="0"/>
        <v>1975585.5295999998</v>
      </c>
    </row>
    <row r="5" spans="1:7" x14ac:dyDescent="0.25">
      <c r="A5" t="s">
        <v>27</v>
      </c>
      <c r="B5" t="s">
        <v>3</v>
      </c>
      <c r="C5">
        <v>409575.36030000052</v>
      </c>
      <c r="D5">
        <v>2713</v>
      </c>
      <c r="E5">
        <v>69</v>
      </c>
      <c r="F5">
        <v>1073162.6099</v>
      </c>
      <c r="G5">
        <f t="shared" si="0"/>
        <v>1482737.9702000006</v>
      </c>
    </row>
    <row r="6" spans="1:7" x14ac:dyDescent="0.25">
      <c r="A6" t="s">
        <v>27</v>
      </c>
      <c r="B6" t="s">
        <v>4</v>
      </c>
      <c r="C6">
        <v>669162.1101999972</v>
      </c>
      <c r="D6">
        <v>11726</v>
      </c>
      <c r="E6">
        <v>321</v>
      </c>
      <c r="F6">
        <v>4422339.4501999998</v>
      </c>
      <c r="G6">
        <f t="shared" si="0"/>
        <v>5091501.560399997</v>
      </c>
    </row>
    <row r="7" spans="1:7" x14ac:dyDescent="0.25">
      <c r="A7" t="s">
        <v>27</v>
      </c>
      <c r="B7" t="s">
        <v>5</v>
      </c>
      <c r="C7">
        <v>947646.02979999874</v>
      </c>
      <c r="D7">
        <v>9495</v>
      </c>
      <c r="E7">
        <v>268</v>
      </c>
      <c r="F7">
        <v>3617221.5905000004</v>
      </c>
      <c r="G7">
        <f t="shared" si="0"/>
        <v>4564867.6202999987</v>
      </c>
    </row>
    <row r="8" spans="1:7" x14ac:dyDescent="0.25">
      <c r="A8" t="s">
        <v>27</v>
      </c>
      <c r="B8" t="s">
        <v>6</v>
      </c>
      <c r="C8">
        <v>846152.38040000014</v>
      </c>
      <c r="D8">
        <v>13129</v>
      </c>
      <c r="E8">
        <v>295</v>
      </c>
      <c r="F8">
        <v>2915858.7089999993</v>
      </c>
      <c r="G8">
        <f t="shared" si="0"/>
        <v>3762011.0893999995</v>
      </c>
    </row>
    <row r="9" spans="1:7" x14ac:dyDescent="0.25">
      <c r="A9" t="s">
        <v>27</v>
      </c>
      <c r="B9" t="s">
        <v>7</v>
      </c>
      <c r="C9">
        <v>2436115.2094999962</v>
      </c>
      <c r="D9">
        <v>16017</v>
      </c>
      <c r="E9">
        <v>390</v>
      </c>
      <c r="F9">
        <v>6798817.2517999997</v>
      </c>
      <c r="G9">
        <f t="shared" si="0"/>
        <v>9234932.4612999968</v>
      </c>
    </row>
    <row r="10" spans="1:7" x14ac:dyDescent="0.25">
      <c r="A10" t="s">
        <v>27</v>
      </c>
      <c r="B10" t="s">
        <v>8</v>
      </c>
      <c r="C10">
        <v>86520.34990000003</v>
      </c>
      <c r="D10">
        <v>400</v>
      </c>
      <c r="E10">
        <v>9</v>
      </c>
      <c r="F10">
        <v>323480.3</v>
      </c>
      <c r="G10">
        <f t="shared" si="0"/>
        <v>410000.64990000002</v>
      </c>
    </row>
    <row r="11" spans="1:7" x14ac:dyDescent="0.25">
      <c r="A11" t="s">
        <v>27</v>
      </c>
      <c r="B11" t="s">
        <v>9</v>
      </c>
      <c r="C11">
        <v>5703265.4000000022</v>
      </c>
      <c r="D11">
        <v>64185</v>
      </c>
      <c r="E11">
        <v>1458</v>
      </c>
      <c r="F11">
        <v>17778957.199500002</v>
      </c>
      <c r="G11">
        <f t="shared" si="0"/>
        <v>23482222.599500004</v>
      </c>
    </row>
    <row r="12" spans="1:7" x14ac:dyDescent="0.25">
      <c r="A12" t="s">
        <v>27</v>
      </c>
      <c r="B12" t="s">
        <v>10</v>
      </c>
      <c r="C12">
        <v>975457.70050000027</v>
      </c>
      <c r="D12">
        <v>10351</v>
      </c>
      <c r="E12">
        <v>273</v>
      </c>
      <c r="F12">
        <v>2694618.3287000004</v>
      </c>
      <c r="G12">
        <f t="shared" si="0"/>
        <v>3670076.0292000007</v>
      </c>
    </row>
    <row r="13" spans="1:7" x14ac:dyDescent="0.25">
      <c r="A13" t="s">
        <v>27</v>
      </c>
      <c r="B13" t="s">
        <v>11</v>
      </c>
      <c r="C13">
        <v>688777.33070000261</v>
      </c>
      <c r="D13">
        <v>11787</v>
      </c>
      <c r="E13">
        <v>274</v>
      </c>
      <c r="F13">
        <v>2415894.02</v>
      </c>
      <c r="G13">
        <f t="shared" si="0"/>
        <v>3104671.3507000026</v>
      </c>
    </row>
    <row r="14" spans="1:7" x14ac:dyDescent="0.25">
      <c r="A14" t="s">
        <v>27</v>
      </c>
      <c r="B14" t="s">
        <v>12</v>
      </c>
      <c r="C14">
        <v>932765.14979999792</v>
      </c>
      <c r="D14">
        <v>15805</v>
      </c>
      <c r="E14">
        <v>351</v>
      </c>
      <c r="F14">
        <v>4730707.6696000006</v>
      </c>
      <c r="G14">
        <f t="shared" si="0"/>
        <v>5663472.8193999985</v>
      </c>
    </row>
    <row r="15" spans="1:7" x14ac:dyDescent="0.25">
      <c r="A15" t="s">
        <v>27</v>
      </c>
      <c r="B15" t="s">
        <v>13</v>
      </c>
      <c r="C15">
        <v>2524242.7000000048</v>
      </c>
      <c r="D15">
        <v>37847</v>
      </c>
      <c r="E15">
        <v>879</v>
      </c>
      <c r="F15">
        <v>9053772.9194999989</v>
      </c>
      <c r="G15">
        <f t="shared" si="0"/>
        <v>11578015.619500004</v>
      </c>
    </row>
    <row r="16" spans="1:7" x14ac:dyDescent="0.25">
      <c r="A16" t="s">
        <v>27</v>
      </c>
      <c r="B16" t="s">
        <v>14</v>
      </c>
      <c r="C16">
        <v>1133997.8300000019</v>
      </c>
      <c r="D16">
        <v>9259</v>
      </c>
      <c r="E16">
        <v>232</v>
      </c>
      <c r="F16">
        <v>2769053.6302999998</v>
      </c>
      <c r="G16">
        <f t="shared" si="0"/>
        <v>3903051.4603000018</v>
      </c>
    </row>
    <row r="17" spans="1:7" x14ac:dyDescent="0.25">
      <c r="A17" t="s">
        <v>27</v>
      </c>
      <c r="B17" t="s">
        <v>15</v>
      </c>
      <c r="C17">
        <v>310831.6698999987</v>
      </c>
      <c r="D17">
        <v>2627</v>
      </c>
      <c r="E17">
        <v>69</v>
      </c>
      <c r="F17">
        <v>2656502.3001000001</v>
      </c>
      <c r="G17">
        <f t="shared" si="0"/>
        <v>2967333.9699999988</v>
      </c>
    </row>
    <row r="18" spans="1:7" x14ac:dyDescent="0.25">
      <c r="A18" t="s">
        <v>27</v>
      </c>
      <c r="B18" t="s">
        <v>16</v>
      </c>
      <c r="C18">
        <v>308010.00010000076</v>
      </c>
      <c r="D18">
        <v>4796</v>
      </c>
      <c r="E18">
        <v>120</v>
      </c>
      <c r="F18">
        <v>1297902.3499</v>
      </c>
      <c r="G18">
        <f t="shared" si="0"/>
        <v>1605912.3500000008</v>
      </c>
    </row>
    <row r="19" spans="1:7" x14ac:dyDescent="0.25">
      <c r="A19" t="s">
        <v>27</v>
      </c>
      <c r="B19" t="s">
        <v>17</v>
      </c>
      <c r="C19">
        <v>459469.57979999948</v>
      </c>
      <c r="D19">
        <v>3194</v>
      </c>
      <c r="E19">
        <v>80</v>
      </c>
      <c r="F19">
        <v>1212964.1103000001</v>
      </c>
      <c r="G19">
        <f t="shared" si="0"/>
        <v>1672433.6900999995</v>
      </c>
    </row>
    <row r="20" spans="1:7" x14ac:dyDescent="0.25">
      <c r="A20" t="s">
        <v>27</v>
      </c>
      <c r="B20" t="s">
        <v>18</v>
      </c>
      <c r="C20">
        <v>1647870.4285999909</v>
      </c>
      <c r="D20">
        <v>17623</v>
      </c>
      <c r="E20">
        <v>456</v>
      </c>
      <c r="F20">
        <v>10522237.736000003</v>
      </c>
      <c r="G20">
        <f t="shared" si="0"/>
        <v>12170108.164599994</v>
      </c>
    </row>
    <row r="21" spans="1:7" x14ac:dyDescent="0.25">
      <c r="A21" t="s">
        <v>27</v>
      </c>
      <c r="B21" t="s">
        <v>19</v>
      </c>
      <c r="C21">
        <v>850535.00979999918</v>
      </c>
      <c r="D21">
        <v>10804</v>
      </c>
      <c r="E21">
        <v>271</v>
      </c>
      <c r="F21">
        <v>3472650.1100999992</v>
      </c>
      <c r="G21">
        <f t="shared" si="0"/>
        <v>4323185.1198999984</v>
      </c>
    </row>
    <row r="22" spans="1:7" x14ac:dyDescent="0.25">
      <c r="A22" t="s">
        <v>27</v>
      </c>
      <c r="B22" t="s">
        <v>20</v>
      </c>
      <c r="C22">
        <v>584243.6799999997</v>
      </c>
      <c r="D22">
        <v>5403</v>
      </c>
      <c r="E22">
        <v>117</v>
      </c>
      <c r="F22">
        <v>1471086.2001</v>
      </c>
      <c r="G22">
        <f t="shared" si="0"/>
        <v>2055329.8800999997</v>
      </c>
    </row>
    <row r="23" spans="1:7" x14ac:dyDescent="0.25">
      <c r="A23" t="s">
        <v>27</v>
      </c>
      <c r="B23" t="s">
        <v>21</v>
      </c>
      <c r="C23">
        <v>245019.57000000076</v>
      </c>
      <c r="D23">
        <v>4711</v>
      </c>
      <c r="E23">
        <v>124</v>
      </c>
      <c r="F23">
        <v>1253214.1899000001</v>
      </c>
      <c r="G23">
        <f t="shared" si="0"/>
        <v>1498233.7599000009</v>
      </c>
    </row>
    <row r="24" spans="1:7" x14ac:dyDescent="0.25">
      <c r="A24" t="s">
        <v>27</v>
      </c>
      <c r="B24" t="s">
        <v>22</v>
      </c>
      <c r="C24">
        <v>433468.36999999639</v>
      </c>
      <c r="D24">
        <v>7668</v>
      </c>
      <c r="E24">
        <v>201</v>
      </c>
      <c r="F24">
        <v>2878916.8506</v>
      </c>
      <c r="G24">
        <f t="shared" si="0"/>
        <v>3312385.2205999964</v>
      </c>
    </row>
    <row r="25" spans="1:7" x14ac:dyDescent="0.25">
      <c r="A25" t="s">
        <v>27</v>
      </c>
      <c r="B25" t="s">
        <v>23</v>
      </c>
      <c r="C25">
        <v>353417.90999999968</v>
      </c>
      <c r="D25">
        <v>2440</v>
      </c>
      <c r="E25">
        <v>60</v>
      </c>
      <c r="F25">
        <v>776696.27999999991</v>
      </c>
      <c r="G25">
        <f t="shared" si="0"/>
        <v>1130114.1899999995</v>
      </c>
    </row>
    <row r="26" spans="1:7" x14ac:dyDescent="0.25">
      <c r="A26" s="1" t="s">
        <v>28</v>
      </c>
      <c r="B26" s="1" t="s">
        <v>0</v>
      </c>
      <c r="C26" s="1">
        <v>394891.18999999994</v>
      </c>
      <c r="D26" s="1">
        <v>5793</v>
      </c>
      <c r="E26" s="1">
        <v>156</v>
      </c>
      <c r="F26" s="1">
        <v>1907720.81</v>
      </c>
      <c r="G26" s="1">
        <f t="shared" si="0"/>
        <v>2302612</v>
      </c>
    </row>
    <row r="27" spans="1:7" x14ac:dyDescent="0.25">
      <c r="A27" t="s">
        <v>28</v>
      </c>
      <c r="B27" t="s">
        <v>1</v>
      </c>
      <c r="C27">
        <v>117524.82009999966</v>
      </c>
      <c r="D27">
        <v>2747</v>
      </c>
      <c r="E27">
        <v>88</v>
      </c>
      <c r="F27">
        <v>779687.69010000012</v>
      </c>
      <c r="G27">
        <f t="shared" si="0"/>
        <v>897212.51019999979</v>
      </c>
    </row>
    <row r="28" spans="1:7" x14ac:dyDescent="0.25">
      <c r="A28" t="s">
        <v>28</v>
      </c>
      <c r="B28" t="s">
        <v>2</v>
      </c>
      <c r="C28">
        <v>277132.13020000025</v>
      </c>
      <c r="D28">
        <v>4349</v>
      </c>
      <c r="E28">
        <v>120</v>
      </c>
      <c r="F28">
        <v>1221406.3300999999</v>
      </c>
      <c r="G28">
        <f t="shared" si="0"/>
        <v>1498538.4603000002</v>
      </c>
    </row>
    <row r="29" spans="1:7" x14ac:dyDescent="0.25">
      <c r="A29" t="s">
        <v>28</v>
      </c>
      <c r="B29" t="s">
        <v>3</v>
      </c>
      <c r="C29">
        <v>64165.180200000061</v>
      </c>
      <c r="D29">
        <v>1992</v>
      </c>
      <c r="E29">
        <v>33</v>
      </c>
      <c r="F29">
        <v>314067.2401</v>
      </c>
      <c r="G29">
        <f t="shared" si="0"/>
        <v>378232.42030000006</v>
      </c>
    </row>
    <row r="30" spans="1:7" x14ac:dyDescent="0.25">
      <c r="A30" t="s">
        <v>28</v>
      </c>
      <c r="B30" t="s">
        <v>4</v>
      </c>
      <c r="C30">
        <v>189411.91940000094</v>
      </c>
      <c r="D30">
        <v>7997</v>
      </c>
      <c r="E30">
        <v>189</v>
      </c>
      <c r="F30">
        <v>2460863.9799000002</v>
      </c>
      <c r="G30">
        <f t="shared" si="0"/>
        <v>2650275.8993000011</v>
      </c>
    </row>
    <row r="31" spans="1:7" x14ac:dyDescent="0.25">
      <c r="A31" t="s">
        <v>28</v>
      </c>
      <c r="B31" t="s">
        <v>5</v>
      </c>
      <c r="C31">
        <v>162868.17000000039</v>
      </c>
      <c r="D31">
        <v>4316</v>
      </c>
      <c r="E31">
        <v>108</v>
      </c>
      <c r="F31">
        <v>851032.82990000001</v>
      </c>
      <c r="G31">
        <f t="shared" si="0"/>
        <v>1013900.9999000004</v>
      </c>
    </row>
    <row r="32" spans="1:7" x14ac:dyDescent="0.25">
      <c r="A32" t="s">
        <v>28</v>
      </c>
      <c r="B32" t="s">
        <v>6</v>
      </c>
      <c r="C32">
        <v>206503.94019999937</v>
      </c>
      <c r="D32">
        <v>3771</v>
      </c>
      <c r="E32">
        <v>94</v>
      </c>
      <c r="F32">
        <v>747932.74979999976</v>
      </c>
      <c r="G32">
        <f t="shared" si="0"/>
        <v>954436.68999999913</v>
      </c>
    </row>
    <row r="33" spans="1:7" x14ac:dyDescent="0.25">
      <c r="A33" t="s">
        <v>28</v>
      </c>
      <c r="B33" t="s">
        <v>7</v>
      </c>
      <c r="C33">
        <v>616862.21870000055</v>
      </c>
      <c r="D33">
        <v>3862</v>
      </c>
      <c r="E33">
        <v>97</v>
      </c>
      <c r="F33">
        <v>1486482.9372</v>
      </c>
      <c r="G33">
        <f t="shared" si="0"/>
        <v>2103345.1559000006</v>
      </c>
    </row>
    <row r="34" spans="1:7" x14ac:dyDescent="0.25">
      <c r="A34" t="s">
        <v>28</v>
      </c>
      <c r="B34" t="s">
        <v>8</v>
      </c>
      <c r="C34">
        <v>12067.559999999983</v>
      </c>
      <c r="D34">
        <v>158</v>
      </c>
      <c r="E34">
        <v>4</v>
      </c>
      <c r="F34">
        <v>47946.04</v>
      </c>
      <c r="G34">
        <f t="shared" si="0"/>
        <v>60013.599999999984</v>
      </c>
    </row>
    <row r="35" spans="1:7" x14ac:dyDescent="0.25">
      <c r="A35" t="s">
        <v>28</v>
      </c>
      <c r="B35" t="s">
        <v>9</v>
      </c>
      <c r="C35">
        <v>725665.68020000262</v>
      </c>
      <c r="D35">
        <v>15396</v>
      </c>
      <c r="E35">
        <v>328</v>
      </c>
      <c r="F35">
        <v>1985356.4504</v>
      </c>
      <c r="G35">
        <f t="shared" si="0"/>
        <v>2711022.1306000026</v>
      </c>
    </row>
    <row r="36" spans="1:7" x14ac:dyDescent="0.25">
      <c r="A36" t="s">
        <v>28</v>
      </c>
      <c r="B36" t="s">
        <v>10</v>
      </c>
      <c r="C36">
        <v>559053.29080000054</v>
      </c>
      <c r="D36">
        <v>4385</v>
      </c>
      <c r="E36">
        <v>106</v>
      </c>
      <c r="F36">
        <v>1240616.4426</v>
      </c>
      <c r="G36">
        <f t="shared" si="0"/>
        <v>1799669.7334000005</v>
      </c>
    </row>
    <row r="37" spans="1:7" x14ac:dyDescent="0.25">
      <c r="A37" t="s">
        <v>28</v>
      </c>
      <c r="B37" t="s">
        <v>11</v>
      </c>
      <c r="C37">
        <v>400593.08980000066</v>
      </c>
      <c r="D37">
        <v>9379</v>
      </c>
      <c r="E37">
        <v>251</v>
      </c>
      <c r="F37">
        <v>1847960.3195000002</v>
      </c>
      <c r="G37">
        <f t="shared" si="0"/>
        <v>2248553.4093000009</v>
      </c>
    </row>
    <row r="38" spans="1:7" x14ac:dyDescent="0.25">
      <c r="A38" t="s">
        <v>28</v>
      </c>
      <c r="B38" t="s">
        <v>12</v>
      </c>
      <c r="C38">
        <v>203303.97019999893</v>
      </c>
      <c r="D38">
        <v>6408</v>
      </c>
      <c r="E38">
        <v>138</v>
      </c>
      <c r="F38">
        <v>1546749.3096</v>
      </c>
      <c r="G38">
        <f t="shared" si="0"/>
        <v>1750053.279799999</v>
      </c>
    </row>
    <row r="39" spans="1:7" x14ac:dyDescent="0.25">
      <c r="A39" t="s">
        <v>28</v>
      </c>
      <c r="B39" t="s">
        <v>13</v>
      </c>
      <c r="C39">
        <v>570949.56119999941</v>
      </c>
      <c r="D39">
        <v>10527</v>
      </c>
      <c r="E39">
        <v>252</v>
      </c>
      <c r="F39">
        <v>1849119.3399999996</v>
      </c>
      <c r="G39">
        <f t="shared" si="0"/>
        <v>2420068.9011999993</v>
      </c>
    </row>
    <row r="40" spans="1:7" x14ac:dyDescent="0.25">
      <c r="A40" t="s">
        <v>28</v>
      </c>
      <c r="B40" t="s">
        <v>14</v>
      </c>
      <c r="C40">
        <v>158374.41949999984</v>
      </c>
      <c r="D40">
        <v>2431</v>
      </c>
      <c r="E40">
        <v>55</v>
      </c>
      <c r="F40">
        <v>858386.86909999989</v>
      </c>
      <c r="G40">
        <f t="shared" si="0"/>
        <v>1016761.2885999997</v>
      </c>
    </row>
    <row r="41" spans="1:7" x14ac:dyDescent="0.25">
      <c r="A41" t="s">
        <v>28</v>
      </c>
      <c r="B41" t="s">
        <v>15</v>
      </c>
      <c r="C41">
        <v>151863.14979999996</v>
      </c>
      <c r="D41">
        <v>1169</v>
      </c>
      <c r="E41">
        <v>35</v>
      </c>
      <c r="F41">
        <v>332768.43990000006</v>
      </c>
      <c r="G41">
        <f t="shared" si="0"/>
        <v>484631.58970000001</v>
      </c>
    </row>
    <row r="42" spans="1:7" x14ac:dyDescent="0.25">
      <c r="A42" t="s">
        <v>28</v>
      </c>
      <c r="B42" t="s">
        <v>16</v>
      </c>
      <c r="C42">
        <v>13769.269800000009</v>
      </c>
      <c r="D42">
        <v>1707</v>
      </c>
      <c r="E42">
        <v>48</v>
      </c>
      <c r="F42">
        <v>193924.88020000001</v>
      </c>
      <c r="G42">
        <f t="shared" si="0"/>
        <v>207694.15000000002</v>
      </c>
    </row>
    <row r="43" spans="1:7" x14ac:dyDescent="0.25">
      <c r="A43" t="s">
        <v>28</v>
      </c>
      <c r="B43" t="s">
        <v>17</v>
      </c>
      <c r="C43">
        <v>43402.360500000068</v>
      </c>
      <c r="D43">
        <v>750</v>
      </c>
      <c r="E43">
        <v>20</v>
      </c>
      <c r="F43">
        <v>225520.74969999999</v>
      </c>
      <c r="G43">
        <f t="shared" si="0"/>
        <v>268923.11020000005</v>
      </c>
    </row>
    <row r="44" spans="1:7" x14ac:dyDescent="0.25">
      <c r="A44" t="s">
        <v>28</v>
      </c>
      <c r="B44" t="s">
        <v>18</v>
      </c>
      <c r="C44">
        <v>507956.07759999763</v>
      </c>
      <c r="D44">
        <v>6438</v>
      </c>
      <c r="E44">
        <v>172</v>
      </c>
      <c r="F44">
        <v>2951371.5236999993</v>
      </c>
      <c r="G44">
        <f t="shared" si="0"/>
        <v>3459327.601299997</v>
      </c>
    </row>
    <row r="45" spans="1:7" x14ac:dyDescent="0.25">
      <c r="A45" t="s">
        <v>28</v>
      </c>
      <c r="B45" t="s">
        <v>19</v>
      </c>
      <c r="C45">
        <v>137167.64000000001</v>
      </c>
      <c r="D45">
        <v>2480</v>
      </c>
      <c r="E45">
        <v>64</v>
      </c>
      <c r="F45">
        <v>371766.01989999996</v>
      </c>
      <c r="G45">
        <f t="shared" si="0"/>
        <v>508933.65989999997</v>
      </c>
    </row>
    <row r="46" spans="1:7" x14ac:dyDescent="0.25">
      <c r="A46" t="s">
        <v>28</v>
      </c>
      <c r="B46" t="s">
        <v>20</v>
      </c>
      <c r="C46">
        <v>102626.91999999998</v>
      </c>
      <c r="D46">
        <v>1475</v>
      </c>
      <c r="E46">
        <v>28</v>
      </c>
      <c r="F46">
        <v>293890.27019999997</v>
      </c>
      <c r="G46">
        <f t="shared" si="0"/>
        <v>396517.19019999995</v>
      </c>
    </row>
    <row r="47" spans="1:7" x14ac:dyDescent="0.25">
      <c r="A47" t="s">
        <v>28</v>
      </c>
      <c r="B47" t="s">
        <v>21</v>
      </c>
      <c r="C47">
        <v>138196.62000000011</v>
      </c>
      <c r="D47">
        <v>2566</v>
      </c>
      <c r="E47">
        <v>64</v>
      </c>
      <c r="F47">
        <v>493777.72039999999</v>
      </c>
      <c r="G47">
        <f t="shared" si="0"/>
        <v>631974.3404000001</v>
      </c>
    </row>
    <row r="48" spans="1:7" x14ac:dyDescent="0.25">
      <c r="A48" t="s">
        <v>28</v>
      </c>
      <c r="B48" t="s">
        <v>22</v>
      </c>
      <c r="C48">
        <v>271515.90970000066</v>
      </c>
      <c r="D48">
        <v>5694</v>
      </c>
      <c r="E48">
        <v>139</v>
      </c>
      <c r="F48">
        <v>1204840.0294999999</v>
      </c>
      <c r="G48">
        <f t="shared" si="0"/>
        <v>1476355.9392000006</v>
      </c>
    </row>
    <row r="49" spans="1:7" x14ac:dyDescent="0.25">
      <c r="A49" t="s">
        <v>28</v>
      </c>
      <c r="B49" t="s">
        <v>23</v>
      </c>
      <c r="C49">
        <v>119271.76959999977</v>
      </c>
      <c r="D49">
        <v>1742</v>
      </c>
      <c r="E49">
        <v>47</v>
      </c>
      <c r="F49">
        <v>422193.13</v>
      </c>
      <c r="G49">
        <f t="shared" si="0"/>
        <v>541464.89959999977</v>
      </c>
    </row>
    <row r="50" spans="1:7" x14ac:dyDescent="0.25">
      <c r="A50" s="1" t="s">
        <v>29</v>
      </c>
      <c r="B50" s="1" t="s">
        <v>0</v>
      </c>
      <c r="C50" s="1">
        <v>99264.079699999769</v>
      </c>
      <c r="D50" s="1">
        <v>1159</v>
      </c>
      <c r="E50" s="1">
        <v>39</v>
      </c>
      <c r="F50" s="1">
        <v>583961.41909999994</v>
      </c>
      <c r="G50" s="1">
        <f t="shared" si="0"/>
        <v>683225.49879999971</v>
      </c>
    </row>
    <row r="51" spans="1:7" x14ac:dyDescent="0.25">
      <c r="A51" t="s">
        <v>29</v>
      </c>
      <c r="B51" t="s">
        <v>1</v>
      </c>
      <c r="C51">
        <v>46228.130000000005</v>
      </c>
      <c r="D51">
        <v>976</v>
      </c>
      <c r="E51">
        <v>34</v>
      </c>
      <c r="F51">
        <v>152214.29960000003</v>
      </c>
      <c r="G51">
        <f t="shared" si="0"/>
        <v>198442.42960000003</v>
      </c>
    </row>
    <row r="52" spans="1:7" x14ac:dyDescent="0.25">
      <c r="A52" t="s">
        <v>29</v>
      </c>
      <c r="B52" t="s">
        <v>2</v>
      </c>
      <c r="C52">
        <v>65943.219900000084</v>
      </c>
      <c r="D52">
        <v>876</v>
      </c>
      <c r="E52">
        <v>29</v>
      </c>
      <c r="F52">
        <v>236103.47019999998</v>
      </c>
      <c r="G52">
        <f t="shared" si="0"/>
        <v>302046.69010000007</v>
      </c>
    </row>
    <row r="53" spans="1:7" x14ac:dyDescent="0.25">
      <c r="A53" t="s">
        <v>29</v>
      </c>
      <c r="B53" t="s">
        <v>3</v>
      </c>
      <c r="C53">
        <v>8690.8000999999931</v>
      </c>
      <c r="D53">
        <v>480</v>
      </c>
      <c r="E53">
        <v>16</v>
      </c>
      <c r="F53">
        <v>112809.92000000001</v>
      </c>
      <c r="G53">
        <f t="shared" si="0"/>
        <v>121500.72010000001</v>
      </c>
    </row>
    <row r="54" spans="1:7" x14ac:dyDescent="0.25">
      <c r="A54" t="s">
        <v>29</v>
      </c>
      <c r="B54" t="s">
        <v>4</v>
      </c>
      <c r="C54">
        <v>4294.269700000179</v>
      </c>
      <c r="D54">
        <v>925</v>
      </c>
      <c r="E54">
        <v>31</v>
      </c>
      <c r="F54">
        <v>442046.4095999999</v>
      </c>
      <c r="G54">
        <f t="shared" si="0"/>
        <v>446340.67930000008</v>
      </c>
    </row>
    <row r="55" spans="1:7" x14ac:dyDescent="0.25">
      <c r="A55" t="s">
        <v>29</v>
      </c>
      <c r="B55" t="s">
        <v>5</v>
      </c>
      <c r="C55">
        <v>864.0006000000285</v>
      </c>
      <c r="D55">
        <v>984</v>
      </c>
      <c r="E55">
        <v>33</v>
      </c>
      <c r="F55">
        <v>174896.00989999998</v>
      </c>
      <c r="G55">
        <f t="shared" si="0"/>
        <v>175760.0105</v>
      </c>
    </row>
    <row r="56" spans="1:7" x14ac:dyDescent="0.25">
      <c r="A56" t="s">
        <v>29</v>
      </c>
      <c r="B56" t="s">
        <v>6</v>
      </c>
      <c r="C56">
        <v>15483.828399999649</v>
      </c>
      <c r="D56">
        <v>2125</v>
      </c>
      <c r="E56">
        <v>71</v>
      </c>
      <c r="F56">
        <v>381908.16060000006</v>
      </c>
      <c r="G56">
        <f t="shared" si="0"/>
        <v>397391.98899999971</v>
      </c>
    </row>
    <row r="57" spans="1:7" x14ac:dyDescent="0.25">
      <c r="A57" t="s">
        <v>29</v>
      </c>
      <c r="B57" t="s">
        <v>7</v>
      </c>
      <c r="C57">
        <v>110596.66899999994</v>
      </c>
      <c r="D57">
        <v>1349</v>
      </c>
      <c r="E57">
        <v>45</v>
      </c>
      <c r="F57">
        <v>264034.90870000003</v>
      </c>
      <c r="G57">
        <f t="shared" si="0"/>
        <v>374631.57769999997</v>
      </c>
    </row>
    <row r="58" spans="1:7" x14ac:dyDescent="0.25">
      <c r="A58" t="s">
        <v>29</v>
      </c>
      <c r="B58" t="s">
        <v>8</v>
      </c>
      <c r="C58" s="1">
        <v>18190.78</v>
      </c>
      <c r="D58">
        <v>60</v>
      </c>
      <c r="E58">
        <v>2</v>
      </c>
      <c r="F58">
        <v>16023.58</v>
      </c>
      <c r="G58">
        <f t="shared" si="0"/>
        <v>34214.36</v>
      </c>
    </row>
    <row r="59" spans="1:7" x14ac:dyDescent="0.25">
      <c r="A59" t="s">
        <v>29</v>
      </c>
      <c r="B59" t="s">
        <v>9</v>
      </c>
      <c r="C59">
        <v>328905.22009999817</v>
      </c>
      <c r="D59">
        <v>5560</v>
      </c>
      <c r="E59">
        <v>185</v>
      </c>
      <c r="F59">
        <v>1467675.1602999999</v>
      </c>
      <c r="G59">
        <f t="shared" si="0"/>
        <v>1796580.380399998</v>
      </c>
    </row>
    <row r="60" spans="1:7" x14ac:dyDescent="0.25">
      <c r="A60" t="s">
        <v>29</v>
      </c>
      <c r="B60" t="s">
        <v>10</v>
      </c>
      <c r="C60">
        <v>111344.06010000006</v>
      </c>
      <c r="D60">
        <v>1133</v>
      </c>
      <c r="E60">
        <v>38</v>
      </c>
      <c r="F60">
        <v>154382.73120000004</v>
      </c>
      <c r="G60">
        <f t="shared" si="0"/>
        <v>265726.7913000001</v>
      </c>
    </row>
    <row r="61" spans="1:7" x14ac:dyDescent="0.25">
      <c r="A61" t="s">
        <v>29</v>
      </c>
      <c r="B61" t="s">
        <v>11</v>
      </c>
      <c r="C61">
        <v>53813.738799999701</v>
      </c>
      <c r="D61">
        <v>2322</v>
      </c>
      <c r="E61">
        <v>77</v>
      </c>
      <c r="F61">
        <v>572371.8923000003</v>
      </c>
      <c r="G61">
        <f t="shared" si="0"/>
        <v>626185.6311</v>
      </c>
    </row>
    <row r="62" spans="1:7" x14ac:dyDescent="0.25">
      <c r="A62" t="s">
        <v>29</v>
      </c>
      <c r="B62" t="s">
        <v>12</v>
      </c>
      <c r="C62">
        <v>50128.200599999749</v>
      </c>
      <c r="D62">
        <v>2006</v>
      </c>
      <c r="E62">
        <v>70</v>
      </c>
      <c r="F62">
        <v>435537.64030000003</v>
      </c>
      <c r="G62">
        <f t="shared" si="0"/>
        <v>485665.84089999978</v>
      </c>
    </row>
    <row r="63" spans="1:7" x14ac:dyDescent="0.25">
      <c r="A63" t="s">
        <v>29</v>
      </c>
      <c r="B63" t="s">
        <v>13</v>
      </c>
      <c r="C63">
        <v>257368.36060000048</v>
      </c>
      <c r="D63">
        <v>5069</v>
      </c>
      <c r="E63">
        <v>169</v>
      </c>
      <c r="F63">
        <v>851093.86999999988</v>
      </c>
      <c r="G63">
        <f t="shared" si="0"/>
        <v>1108462.2306000004</v>
      </c>
    </row>
    <row r="64" spans="1:7" x14ac:dyDescent="0.25">
      <c r="A64" t="s">
        <v>29</v>
      </c>
      <c r="B64" t="s">
        <v>14</v>
      </c>
      <c r="C64">
        <v>3448.8500000000058</v>
      </c>
      <c r="D64">
        <v>449</v>
      </c>
      <c r="E64">
        <v>15</v>
      </c>
      <c r="F64">
        <v>83678.410299999989</v>
      </c>
      <c r="G64">
        <f t="shared" si="0"/>
        <v>87127.260299999994</v>
      </c>
    </row>
    <row r="65" spans="1:7" x14ac:dyDescent="0.25">
      <c r="A65" t="s">
        <v>29</v>
      </c>
      <c r="B65" t="s">
        <v>15</v>
      </c>
      <c r="C65">
        <v>4974.2504999999946</v>
      </c>
      <c r="D65">
        <v>449</v>
      </c>
      <c r="E65">
        <v>15</v>
      </c>
      <c r="F65">
        <v>89409.26979999998</v>
      </c>
      <c r="G65">
        <f t="shared" si="0"/>
        <v>94383.520299999975</v>
      </c>
    </row>
    <row r="66" spans="1:7" x14ac:dyDescent="0.25">
      <c r="A66" t="s">
        <v>29</v>
      </c>
      <c r="B66" t="s">
        <v>16</v>
      </c>
      <c r="C66">
        <v>6122.7602000000188</v>
      </c>
      <c r="D66">
        <v>659</v>
      </c>
      <c r="E66">
        <v>23</v>
      </c>
      <c r="F66">
        <v>187535.06999999995</v>
      </c>
      <c r="G66">
        <f t="shared" si="0"/>
        <v>193657.83019999997</v>
      </c>
    </row>
    <row r="67" spans="1:7" x14ac:dyDescent="0.25">
      <c r="A67" t="s">
        <v>29</v>
      </c>
      <c r="B67" t="s">
        <v>17</v>
      </c>
      <c r="C67">
        <v>10940.1103</v>
      </c>
      <c r="D67">
        <v>449</v>
      </c>
      <c r="E67">
        <v>15</v>
      </c>
      <c r="F67">
        <v>87527.799899999998</v>
      </c>
      <c r="G67">
        <f t="shared" ref="G67:G130" si="1">+F67+C67</f>
        <v>98467.910199999998</v>
      </c>
    </row>
    <row r="68" spans="1:7" x14ac:dyDescent="0.25">
      <c r="A68" t="s">
        <v>29</v>
      </c>
      <c r="B68" t="s">
        <v>18</v>
      </c>
      <c r="C68">
        <v>166968.58070000028</v>
      </c>
      <c r="D68">
        <v>2724</v>
      </c>
      <c r="E68">
        <v>88</v>
      </c>
      <c r="F68">
        <v>1171884.0874000001</v>
      </c>
      <c r="G68">
        <f t="shared" si="1"/>
        <v>1338852.6681000004</v>
      </c>
    </row>
    <row r="69" spans="1:7" x14ac:dyDescent="0.25">
      <c r="A69" t="s">
        <v>29</v>
      </c>
      <c r="B69" t="s">
        <v>19</v>
      </c>
      <c r="C69">
        <v>2231.4095999999554</v>
      </c>
      <c r="D69">
        <v>926</v>
      </c>
      <c r="E69">
        <v>31</v>
      </c>
      <c r="F69">
        <v>124630.37</v>
      </c>
      <c r="G69">
        <f t="shared" si="1"/>
        <v>126861.77959999995</v>
      </c>
    </row>
    <row r="70" spans="1:7" x14ac:dyDescent="0.25">
      <c r="A70" t="s">
        <v>29</v>
      </c>
      <c r="B70" t="s">
        <v>20</v>
      </c>
      <c r="C70">
        <v>82429.280099999916</v>
      </c>
      <c r="D70">
        <v>1170</v>
      </c>
      <c r="E70">
        <v>39</v>
      </c>
      <c r="F70">
        <v>260178.09039999996</v>
      </c>
      <c r="G70">
        <f t="shared" si="1"/>
        <v>342607.37049999984</v>
      </c>
    </row>
    <row r="71" spans="1:7" x14ac:dyDescent="0.25">
      <c r="A71" t="s">
        <v>29</v>
      </c>
      <c r="B71" t="s">
        <v>21</v>
      </c>
      <c r="C71">
        <v>13517.810000000027</v>
      </c>
      <c r="D71">
        <v>583</v>
      </c>
      <c r="E71">
        <v>20</v>
      </c>
      <c r="F71">
        <v>93231.879700000005</v>
      </c>
      <c r="G71">
        <f t="shared" si="1"/>
        <v>106749.68970000003</v>
      </c>
    </row>
    <row r="72" spans="1:7" x14ac:dyDescent="0.25">
      <c r="A72" t="s">
        <v>29</v>
      </c>
      <c r="B72" t="s">
        <v>22</v>
      </c>
      <c r="C72">
        <v>13929.25989999983</v>
      </c>
      <c r="D72">
        <v>1026</v>
      </c>
      <c r="E72">
        <v>32</v>
      </c>
      <c r="F72">
        <v>466715.84030000016</v>
      </c>
      <c r="G72">
        <f t="shared" si="1"/>
        <v>480645.10019999999</v>
      </c>
    </row>
    <row r="73" spans="1:7" x14ac:dyDescent="0.25">
      <c r="A73" t="s">
        <v>29</v>
      </c>
      <c r="B73" t="s">
        <v>23</v>
      </c>
      <c r="C73">
        <v>80075.641199999838</v>
      </c>
      <c r="D73">
        <v>648</v>
      </c>
      <c r="E73">
        <v>22</v>
      </c>
      <c r="F73">
        <v>339475.54029999994</v>
      </c>
      <c r="G73">
        <f t="shared" si="1"/>
        <v>419551.18149999977</v>
      </c>
    </row>
    <row r="74" spans="1:7" x14ac:dyDescent="0.25">
      <c r="A74" s="1" t="s">
        <v>30</v>
      </c>
      <c r="B74" s="1" t="s">
        <v>0</v>
      </c>
      <c r="C74" s="1">
        <v>246222.23989999993</v>
      </c>
      <c r="D74" s="1">
        <v>1400</v>
      </c>
      <c r="E74" s="1">
        <v>16</v>
      </c>
      <c r="F74" s="1">
        <v>873717.36030000006</v>
      </c>
      <c r="G74" s="1">
        <f t="shared" si="1"/>
        <v>1119939.6002</v>
      </c>
    </row>
    <row r="75" spans="1:7" x14ac:dyDescent="0.25">
      <c r="A75" t="s">
        <v>30</v>
      </c>
      <c r="B75" t="s">
        <v>1</v>
      </c>
      <c r="C75">
        <v>162842.5</v>
      </c>
      <c r="D75">
        <v>661</v>
      </c>
      <c r="E75">
        <v>9</v>
      </c>
      <c r="F75">
        <v>227102.43979999999</v>
      </c>
      <c r="G75">
        <f t="shared" si="1"/>
        <v>389944.93979999999</v>
      </c>
    </row>
    <row r="76" spans="1:7" x14ac:dyDescent="0.25">
      <c r="A76" t="s">
        <v>30</v>
      </c>
      <c r="B76" t="s">
        <v>2</v>
      </c>
      <c r="C76">
        <v>107888.7298999998</v>
      </c>
      <c r="D76">
        <v>244</v>
      </c>
      <c r="E76">
        <v>7</v>
      </c>
      <c r="F76">
        <v>378373.54989999998</v>
      </c>
      <c r="G76">
        <f t="shared" si="1"/>
        <v>486262.27979999979</v>
      </c>
    </row>
    <row r="77" spans="1:7" x14ac:dyDescent="0.25">
      <c r="A77" t="s">
        <v>30</v>
      </c>
      <c r="B77" t="s">
        <v>3</v>
      </c>
      <c r="C77">
        <v>53837.580000000016</v>
      </c>
      <c r="D77">
        <v>693</v>
      </c>
      <c r="E77">
        <v>5</v>
      </c>
      <c r="F77">
        <v>96531.33</v>
      </c>
      <c r="G77">
        <f t="shared" si="1"/>
        <v>150368.91000000003</v>
      </c>
    </row>
    <row r="78" spans="1:7" x14ac:dyDescent="0.25">
      <c r="A78" t="s">
        <v>30</v>
      </c>
      <c r="B78" t="s">
        <v>4</v>
      </c>
      <c r="C78">
        <v>54064.520299999742</v>
      </c>
      <c r="D78">
        <v>1143</v>
      </c>
      <c r="E78">
        <v>15</v>
      </c>
      <c r="F78">
        <v>548739.34970000002</v>
      </c>
      <c r="G78">
        <f t="shared" si="1"/>
        <v>602803.86999999976</v>
      </c>
    </row>
    <row r="79" spans="1:7" x14ac:dyDescent="0.25">
      <c r="A79" t="s">
        <v>30</v>
      </c>
      <c r="B79" t="s">
        <v>5</v>
      </c>
      <c r="C79">
        <v>45941.219899999909</v>
      </c>
      <c r="D79">
        <v>1523</v>
      </c>
      <c r="E79">
        <v>15</v>
      </c>
      <c r="F79">
        <v>355974.14</v>
      </c>
      <c r="G79">
        <f t="shared" si="1"/>
        <v>401915.35989999992</v>
      </c>
    </row>
    <row r="80" spans="1:7" x14ac:dyDescent="0.25">
      <c r="A80" t="s">
        <v>30</v>
      </c>
      <c r="B80" t="s">
        <v>6</v>
      </c>
      <c r="C80">
        <v>539022.40989999985</v>
      </c>
      <c r="D80">
        <v>2315</v>
      </c>
      <c r="E80">
        <v>23</v>
      </c>
      <c r="F80">
        <v>938198.53010000009</v>
      </c>
      <c r="G80">
        <f t="shared" si="1"/>
        <v>1477220.94</v>
      </c>
    </row>
    <row r="81" spans="1:7" x14ac:dyDescent="0.25">
      <c r="A81" t="s">
        <v>30</v>
      </c>
      <c r="B81" t="s">
        <v>7</v>
      </c>
      <c r="C81">
        <v>293591.19440000004</v>
      </c>
      <c r="D81">
        <v>825</v>
      </c>
      <c r="E81">
        <v>11</v>
      </c>
      <c r="F81">
        <v>137103.6489</v>
      </c>
      <c r="G81">
        <f t="shared" si="1"/>
        <v>430694.84330000007</v>
      </c>
    </row>
    <row r="82" spans="1:7" x14ac:dyDescent="0.25">
      <c r="A82" t="s">
        <v>30</v>
      </c>
      <c r="B82" s="1" t="s">
        <v>8</v>
      </c>
      <c r="C82" s="1">
        <v>3515.14</v>
      </c>
      <c r="D82" s="1">
        <v>0</v>
      </c>
      <c r="E82" s="1">
        <v>0</v>
      </c>
      <c r="F82" s="1">
        <v>11966.31</v>
      </c>
      <c r="G82">
        <f t="shared" si="1"/>
        <v>15481.449999999999</v>
      </c>
    </row>
    <row r="83" spans="1:7" x14ac:dyDescent="0.25">
      <c r="A83" t="s">
        <v>30</v>
      </c>
      <c r="B83" t="s">
        <v>9</v>
      </c>
      <c r="C83">
        <v>1122197.9501000009</v>
      </c>
      <c r="D83">
        <v>4499</v>
      </c>
      <c r="E83">
        <v>63</v>
      </c>
      <c r="F83">
        <v>2046724.3403</v>
      </c>
      <c r="G83">
        <f t="shared" si="1"/>
        <v>3168922.2904000012</v>
      </c>
    </row>
    <row r="84" spans="1:7" x14ac:dyDescent="0.25">
      <c r="A84" t="s">
        <v>30</v>
      </c>
      <c r="B84" t="s">
        <v>10</v>
      </c>
      <c r="C84">
        <v>301156.14570000046</v>
      </c>
      <c r="D84">
        <v>1099</v>
      </c>
      <c r="E84">
        <v>14</v>
      </c>
      <c r="F84">
        <v>577193.94099999999</v>
      </c>
      <c r="G84">
        <f t="shared" si="1"/>
        <v>878350.08670000045</v>
      </c>
    </row>
    <row r="85" spans="1:7" x14ac:dyDescent="0.25">
      <c r="A85" t="s">
        <v>30</v>
      </c>
      <c r="B85" t="s">
        <v>11</v>
      </c>
      <c r="C85">
        <v>496298.16999999969</v>
      </c>
      <c r="D85">
        <v>1223</v>
      </c>
      <c r="E85">
        <v>23</v>
      </c>
      <c r="F85">
        <v>512420.63020000001</v>
      </c>
      <c r="G85">
        <f t="shared" si="1"/>
        <v>1008718.8001999997</v>
      </c>
    </row>
    <row r="86" spans="1:7" x14ac:dyDescent="0.25">
      <c r="A86" t="s">
        <v>30</v>
      </c>
      <c r="B86" t="s">
        <v>12</v>
      </c>
      <c r="C86">
        <v>50834.660099999979</v>
      </c>
      <c r="D86">
        <v>856</v>
      </c>
      <c r="E86">
        <v>12</v>
      </c>
      <c r="F86">
        <v>352289.1801</v>
      </c>
      <c r="G86">
        <f t="shared" si="1"/>
        <v>403123.84019999998</v>
      </c>
    </row>
    <row r="87" spans="1:7" x14ac:dyDescent="0.25">
      <c r="A87" t="s">
        <v>30</v>
      </c>
      <c r="B87" t="s">
        <v>13</v>
      </c>
      <c r="C87">
        <v>451968.42980000004</v>
      </c>
      <c r="D87">
        <v>2369</v>
      </c>
      <c r="E87">
        <v>19</v>
      </c>
      <c r="F87">
        <v>260942.7598</v>
      </c>
      <c r="G87">
        <f t="shared" si="1"/>
        <v>712911.18960000004</v>
      </c>
    </row>
    <row r="88" spans="1:7" x14ac:dyDescent="0.25">
      <c r="A88" t="s">
        <v>30</v>
      </c>
      <c r="B88" t="s">
        <v>14</v>
      </c>
      <c r="C88">
        <v>52093.049999999988</v>
      </c>
      <c r="D88">
        <v>111</v>
      </c>
      <c r="E88">
        <v>2</v>
      </c>
      <c r="F88">
        <v>130870.29</v>
      </c>
      <c r="G88">
        <f t="shared" si="1"/>
        <v>182963.33999999997</v>
      </c>
    </row>
    <row r="89" spans="1:7" x14ac:dyDescent="0.25">
      <c r="A89" t="s">
        <v>30</v>
      </c>
      <c r="B89" t="s">
        <v>15</v>
      </c>
      <c r="C89">
        <v>57925.550000000047</v>
      </c>
      <c r="D89">
        <v>136</v>
      </c>
      <c r="E89">
        <v>3</v>
      </c>
      <c r="F89">
        <v>202517.57</v>
      </c>
      <c r="G89">
        <f t="shared" si="1"/>
        <v>260443.12000000005</v>
      </c>
    </row>
    <row r="90" spans="1:7" x14ac:dyDescent="0.25">
      <c r="A90" t="s">
        <v>30</v>
      </c>
      <c r="B90" t="s">
        <v>16</v>
      </c>
      <c r="C90">
        <v>11002.589999999982</v>
      </c>
      <c r="D90">
        <v>180</v>
      </c>
      <c r="E90">
        <v>3</v>
      </c>
      <c r="F90">
        <v>60543.45</v>
      </c>
      <c r="G90">
        <f t="shared" si="1"/>
        <v>71546.039999999979</v>
      </c>
    </row>
    <row r="91" spans="1:7" x14ac:dyDescent="0.25">
      <c r="A91" t="s">
        <v>30</v>
      </c>
      <c r="B91" t="s">
        <v>17</v>
      </c>
      <c r="C91">
        <v>60253.479900000035</v>
      </c>
      <c r="D91">
        <v>180</v>
      </c>
      <c r="E91">
        <v>3</v>
      </c>
      <c r="F91">
        <v>139937.79999999999</v>
      </c>
      <c r="G91">
        <f t="shared" si="1"/>
        <v>200191.27990000002</v>
      </c>
    </row>
    <row r="92" spans="1:7" x14ac:dyDescent="0.25">
      <c r="A92" t="s">
        <v>30</v>
      </c>
      <c r="B92" t="s">
        <v>18</v>
      </c>
      <c r="C92">
        <v>755285.2733000014</v>
      </c>
      <c r="D92">
        <v>5979</v>
      </c>
      <c r="E92">
        <v>63</v>
      </c>
      <c r="F92">
        <v>2943102.0526999999</v>
      </c>
      <c r="G92">
        <f t="shared" si="1"/>
        <v>3698387.3260000013</v>
      </c>
    </row>
    <row r="93" spans="1:7" x14ac:dyDescent="0.25">
      <c r="A93" t="s">
        <v>30</v>
      </c>
      <c r="B93" t="s">
        <v>19</v>
      </c>
      <c r="C93">
        <v>196208.19010000012</v>
      </c>
      <c r="D93">
        <v>615</v>
      </c>
      <c r="E93">
        <v>7</v>
      </c>
      <c r="F93">
        <v>46888.230100000001</v>
      </c>
      <c r="G93">
        <f t="shared" si="1"/>
        <v>243096.42020000011</v>
      </c>
    </row>
    <row r="94" spans="1:7" x14ac:dyDescent="0.25">
      <c r="A94" t="s">
        <v>30</v>
      </c>
      <c r="B94" t="s">
        <v>20</v>
      </c>
      <c r="C94">
        <v>407134.21989999968</v>
      </c>
      <c r="D94">
        <v>2044</v>
      </c>
      <c r="E94">
        <v>14</v>
      </c>
      <c r="F94">
        <v>647278.5</v>
      </c>
      <c r="G94">
        <f t="shared" si="1"/>
        <v>1054412.7198999997</v>
      </c>
    </row>
    <row r="95" spans="1:7" x14ac:dyDescent="0.25">
      <c r="A95" t="s">
        <v>30</v>
      </c>
      <c r="B95" t="s">
        <v>21</v>
      </c>
      <c r="C95">
        <v>20473.190000000002</v>
      </c>
      <c r="D95">
        <v>641</v>
      </c>
      <c r="E95">
        <v>4</v>
      </c>
      <c r="F95">
        <v>86085.12000000001</v>
      </c>
      <c r="G95">
        <f t="shared" si="1"/>
        <v>106558.31000000001</v>
      </c>
    </row>
    <row r="96" spans="1:7" x14ac:dyDescent="0.25">
      <c r="A96" t="s">
        <v>30</v>
      </c>
      <c r="B96" t="s">
        <v>22</v>
      </c>
      <c r="C96">
        <v>287325.39979999978</v>
      </c>
      <c r="D96">
        <v>1718</v>
      </c>
      <c r="E96">
        <v>19</v>
      </c>
      <c r="F96">
        <v>514201.46990000003</v>
      </c>
      <c r="G96">
        <f t="shared" si="1"/>
        <v>801526.86969999981</v>
      </c>
    </row>
    <row r="97" spans="1:7" x14ac:dyDescent="0.25">
      <c r="A97" t="s">
        <v>30</v>
      </c>
      <c r="B97" t="s">
        <v>23</v>
      </c>
      <c r="C97">
        <v>40548.599999999919</v>
      </c>
      <c r="D97">
        <v>244</v>
      </c>
      <c r="E97">
        <v>5</v>
      </c>
      <c r="F97">
        <v>153248.52000000002</v>
      </c>
      <c r="G97">
        <f t="shared" si="1"/>
        <v>193797.11999999994</v>
      </c>
    </row>
    <row r="98" spans="1:7" x14ac:dyDescent="0.25">
      <c r="A98" s="1" t="s">
        <v>34</v>
      </c>
      <c r="B98" s="1" t="s">
        <v>0</v>
      </c>
      <c r="C98" s="1">
        <v>1178083.7293079963</v>
      </c>
      <c r="D98" s="1">
        <v>22453</v>
      </c>
      <c r="E98" s="1">
        <v>0</v>
      </c>
      <c r="F98" s="1">
        <v>9553309.2939999998</v>
      </c>
      <c r="G98" s="1">
        <f t="shared" si="1"/>
        <v>10731393.023307996</v>
      </c>
    </row>
    <row r="99" spans="1:7" x14ac:dyDescent="0.25">
      <c r="A99" t="s">
        <v>34</v>
      </c>
      <c r="B99" t="s">
        <v>1</v>
      </c>
      <c r="C99">
        <v>659808.34623300051</v>
      </c>
      <c r="D99">
        <v>12429</v>
      </c>
      <c r="E99">
        <v>0</v>
      </c>
      <c r="F99">
        <v>5288294.7149999999</v>
      </c>
      <c r="G99">
        <f t="shared" si="1"/>
        <v>5948103.0612330008</v>
      </c>
    </row>
    <row r="100" spans="1:7" x14ac:dyDescent="0.25">
      <c r="A100" t="s">
        <v>34</v>
      </c>
      <c r="B100" t="s">
        <v>2</v>
      </c>
      <c r="C100">
        <v>566997.34197507158</v>
      </c>
      <c r="D100">
        <v>10742</v>
      </c>
      <c r="E100">
        <v>0</v>
      </c>
      <c r="F100">
        <v>4570509.4389999993</v>
      </c>
      <c r="G100">
        <f t="shared" si="1"/>
        <v>5137506.7809750708</v>
      </c>
    </row>
    <row r="101" spans="1:7" x14ac:dyDescent="0.25">
      <c r="A101" t="s">
        <v>34</v>
      </c>
      <c r="B101" t="s">
        <v>3</v>
      </c>
      <c r="C101">
        <v>447254.34580686031</v>
      </c>
      <c r="D101">
        <v>8226</v>
      </c>
      <c r="E101">
        <v>0</v>
      </c>
      <c r="F101">
        <v>3500000.9919999992</v>
      </c>
      <c r="G101">
        <f t="shared" si="1"/>
        <v>3947255.3378068595</v>
      </c>
    </row>
    <row r="102" spans="1:7" x14ac:dyDescent="0.25">
      <c r="A102" t="s">
        <v>34</v>
      </c>
      <c r="B102" t="s">
        <v>4</v>
      </c>
      <c r="C102">
        <v>1096473.1753719237</v>
      </c>
      <c r="D102">
        <v>21122</v>
      </c>
      <c r="E102">
        <v>0</v>
      </c>
      <c r="F102">
        <v>8986995.0109999999</v>
      </c>
      <c r="G102">
        <f t="shared" si="1"/>
        <v>10083468.186371924</v>
      </c>
    </row>
    <row r="103" spans="1:7" x14ac:dyDescent="0.25">
      <c r="A103" t="s">
        <v>34</v>
      </c>
      <c r="B103" t="s">
        <v>5</v>
      </c>
      <c r="C103">
        <v>1236478.8043951299</v>
      </c>
      <c r="D103">
        <v>23194</v>
      </c>
      <c r="E103">
        <v>0</v>
      </c>
      <c r="F103">
        <v>9868590.2030000016</v>
      </c>
      <c r="G103">
        <f t="shared" si="1"/>
        <v>11105069.007395132</v>
      </c>
    </row>
    <row r="104" spans="1:7" x14ac:dyDescent="0.25">
      <c r="A104" t="s">
        <v>34</v>
      </c>
      <c r="B104" t="s">
        <v>6</v>
      </c>
      <c r="C104">
        <v>1042303.7247243997</v>
      </c>
      <c r="D104">
        <v>19764</v>
      </c>
      <c r="E104">
        <v>0</v>
      </c>
      <c r="F104">
        <v>8409192.7549999952</v>
      </c>
      <c r="G104">
        <f t="shared" si="1"/>
        <v>9451496.4797243942</v>
      </c>
    </row>
    <row r="105" spans="1:7" x14ac:dyDescent="0.25">
      <c r="A105" t="s">
        <v>34</v>
      </c>
      <c r="B105" t="s">
        <v>7</v>
      </c>
      <c r="C105">
        <v>1637353.1036419391</v>
      </c>
      <c r="D105">
        <v>31038</v>
      </c>
      <c r="E105">
        <v>0</v>
      </c>
      <c r="F105">
        <v>13206057.716000002</v>
      </c>
      <c r="G105">
        <f t="shared" si="1"/>
        <v>14843410.81964194</v>
      </c>
    </row>
    <row r="106" spans="1:7" x14ac:dyDescent="0.25">
      <c r="A106" t="s">
        <v>34</v>
      </c>
      <c r="B106" t="s">
        <v>8</v>
      </c>
      <c r="C106">
        <v>1883.712099584955</v>
      </c>
      <c r="D106">
        <v>34</v>
      </c>
      <c r="E106">
        <v>0</v>
      </c>
      <c r="F106">
        <v>14466.330999999998</v>
      </c>
      <c r="G106">
        <f t="shared" si="1"/>
        <v>16350.043099584953</v>
      </c>
    </row>
    <row r="107" spans="1:7" x14ac:dyDescent="0.25">
      <c r="A107" t="s">
        <v>34</v>
      </c>
      <c r="B107" t="s">
        <v>9</v>
      </c>
      <c r="C107">
        <v>7380180.3616225477</v>
      </c>
      <c r="D107">
        <v>140555</v>
      </c>
      <c r="E107">
        <v>0</v>
      </c>
      <c r="F107">
        <v>59803384.317000002</v>
      </c>
      <c r="G107">
        <f t="shared" si="1"/>
        <v>67183564.678622544</v>
      </c>
    </row>
    <row r="108" spans="1:7" x14ac:dyDescent="0.25">
      <c r="A108" t="s">
        <v>34</v>
      </c>
      <c r="B108" t="s">
        <v>10</v>
      </c>
      <c r="C108">
        <v>1006665.9282457654</v>
      </c>
      <c r="D108">
        <v>19320</v>
      </c>
      <c r="E108">
        <v>0</v>
      </c>
      <c r="F108">
        <v>8220279.498999998</v>
      </c>
      <c r="G108">
        <f t="shared" si="1"/>
        <v>9226945.4272457641</v>
      </c>
    </row>
    <row r="109" spans="1:7" x14ac:dyDescent="0.25">
      <c r="A109" t="s">
        <v>34</v>
      </c>
      <c r="B109" t="s">
        <v>11</v>
      </c>
      <c r="C109">
        <v>1133740.1282610099</v>
      </c>
      <c r="D109">
        <v>21472</v>
      </c>
      <c r="E109">
        <v>0</v>
      </c>
      <c r="F109">
        <v>9135913.1119999997</v>
      </c>
      <c r="G109">
        <f t="shared" si="1"/>
        <v>10269653.240261009</v>
      </c>
    </row>
    <row r="110" spans="1:7" x14ac:dyDescent="0.25">
      <c r="A110" t="s">
        <v>34</v>
      </c>
      <c r="B110" t="s">
        <v>12</v>
      </c>
      <c r="C110">
        <v>3111943.2996521727</v>
      </c>
      <c r="D110">
        <v>59482</v>
      </c>
      <c r="E110">
        <v>0</v>
      </c>
      <c r="F110">
        <v>25308419.520999998</v>
      </c>
      <c r="G110">
        <f t="shared" si="1"/>
        <v>28420362.820652172</v>
      </c>
    </row>
    <row r="111" spans="1:7" x14ac:dyDescent="0.25">
      <c r="A111" t="s">
        <v>34</v>
      </c>
      <c r="B111" t="s">
        <v>13</v>
      </c>
      <c r="C111">
        <v>4652819.7971126661</v>
      </c>
      <c r="D111">
        <v>89144</v>
      </c>
      <c r="E111">
        <v>0</v>
      </c>
      <c r="F111">
        <v>37929016.337000012</v>
      </c>
      <c r="G111">
        <f t="shared" si="1"/>
        <v>42581836.134112678</v>
      </c>
    </row>
    <row r="112" spans="1:7" x14ac:dyDescent="0.25">
      <c r="A112" t="s">
        <v>34</v>
      </c>
      <c r="B112" t="s">
        <v>14</v>
      </c>
      <c r="C112">
        <v>327053.14939820953</v>
      </c>
      <c r="D112">
        <v>6125</v>
      </c>
      <c r="E112">
        <v>0</v>
      </c>
      <c r="F112">
        <v>2606066.8670000006</v>
      </c>
      <c r="G112">
        <f t="shared" si="1"/>
        <v>2933120.0163982101</v>
      </c>
    </row>
    <row r="113" spans="1:8" x14ac:dyDescent="0.25">
      <c r="A113" t="s">
        <v>34</v>
      </c>
      <c r="B113" t="s">
        <v>15</v>
      </c>
      <c r="C113">
        <v>162559.26308039899</v>
      </c>
      <c r="D113">
        <v>3115</v>
      </c>
      <c r="E113">
        <v>0</v>
      </c>
      <c r="F113">
        <v>1325371.1529999999</v>
      </c>
      <c r="G113">
        <f t="shared" si="1"/>
        <v>1487930.416080399</v>
      </c>
    </row>
    <row r="114" spans="1:8" x14ac:dyDescent="0.25">
      <c r="A114" t="s">
        <v>34</v>
      </c>
      <c r="B114" t="s">
        <v>16</v>
      </c>
      <c r="C114">
        <v>292128.10884914792</v>
      </c>
      <c r="D114">
        <v>5530</v>
      </c>
      <c r="E114">
        <v>0</v>
      </c>
      <c r="F114">
        <v>2352906.0889999997</v>
      </c>
      <c r="G114">
        <f t="shared" si="1"/>
        <v>2645034.1978491475</v>
      </c>
    </row>
    <row r="115" spans="1:8" x14ac:dyDescent="0.25">
      <c r="A115" t="s">
        <v>34</v>
      </c>
      <c r="B115" t="s">
        <v>17</v>
      </c>
      <c r="C115">
        <v>97902.118040591042</v>
      </c>
      <c r="D115">
        <v>1860</v>
      </c>
      <c r="E115">
        <v>0</v>
      </c>
      <c r="F115">
        <v>791393.36899999983</v>
      </c>
      <c r="G115">
        <f t="shared" si="1"/>
        <v>889295.48704059084</v>
      </c>
    </row>
    <row r="116" spans="1:8" x14ac:dyDescent="0.25">
      <c r="A116" t="s">
        <v>34</v>
      </c>
      <c r="B116" t="s">
        <v>18</v>
      </c>
      <c r="C116">
        <v>1807956.3264989441</v>
      </c>
      <c r="D116">
        <v>33863</v>
      </c>
      <c r="E116">
        <v>0</v>
      </c>
      <c r="F116">
        <v>14408039.579999998</v>
      </c>
      <c r="G116">
        <f t="shared" si="1"/>
        <v>16215995.906498943</v>
      </c>
    </row>
    <row r="117" spans="1:8" x14ac:dyDescent="0.25">
      <c r="A117" t="s">
        <v>34</v>
      </c>
      <c r="B117" t="s">
        <v>19</v>
      </c>
      <c r="C117">
        <v>1247831.9881304661</v>
      </c>
      <c r="D117">
        <v>23786</v>
      </c>
      <c r="E117">
        <v>0</v>
      </c>
      <c r="F117">
        <v>10120474.543</v>
      </c>
      <c r="G117">
        <f t="shared" si="1"/>
        <v>11368306.531130467</v>
      </c>
    </row>
    <row r="118" spans="1:8" x14ac:dyDescent="0.25">
      <c r="A118" t="s">
        <v>34</v>
      </c>
      <c r="B118" t="s">
        <v>20</v>
      </c>
      <c r="C118">
        <v>1037721.7223200039</v>
      </c>
      <c r="D118">
        <v>19663</v>
      </c>
      <c r="E118">
        <v>0</v>
      </c>
      <c r="F118">
        <v>8366219.2420000006</v>
      </c>
      <c r="G118">
        <f t="shared" si="1"/>
        <v>9403940.964320004</v>
      </c>
    </row>
    <row r="119" spans="1:8" x14ac:dyDescent="0.25">
      <c r="A119" t="s">
        <v>34</v>
      </c>
      <c r="B119" t="s">
        <v>21</v>
      </c>
      <c r="C119">
        <v>376589.68650351121</v>
      </c>
      <c r="D119">
        <v>7155</v>
      </c>
      <c r="E119">
        <v>0</v>
      </c>
      <c r="F119">
        <v>3044311.5840000007</v>
      </c>
      <c r="G119">
        <f t="shared" si="1"/>
        <v>3420901.2705035121</v>
      </c>
    </row>
    <row r="120" spans="1:8" x14ac:dyDescent="0.25">
      <c r="A120" t="s">
        <v>34</v>
      </c>
      <c r="B120" t="s">
        <v>22</v>
      </c>
      <c r="C120">
        <v>958758.54755091562</v>
      </c>
      <c r="D120">
        <v>17954</v>
      </c>
      <c r="E120">
        <v>0</v>
      </c>
      <c r="F120">
        <v>7639073.402999999</v>
      </c>
      <c r="G120">
        <f t="shared" si="1"/>
        <v>8597831.9505509138</v>
      </c>
    </row>
    <row r="121" spans="1:8" x14ac:dyDescent="0.25">
      <c r="A121" t="s">
        <v>34</v>
      </c>
      <c r="B121" t="s">
        <v>23</v>
      </c>
      <c r="C121">
        <v>153700.72509856703</v>
      </c>
      <c r="D121">
        <v>2888</v>
      </c>
      <c r="E121">
        <v>0</v>
      </c>
      <c r="F121">
        <v>1228787.1240000003</v>
      </c>
      <c r="G121">
        <f t="shared" si="1"/>
        <v>1382487.8490985674</v>
      </c>
    </row>
    <row r="122" spans="1:8" x14ac:dyDescent="0.25">
      <c r="A122" t="s">
        <v>34</v>
      </c>
      <c r="B122" t="s">
        <v>42</v>
      </c>
      <c r="C122">
        <v>45463.646079172024</v>
      </c>
      <c r="D122">
        <v>849</v>
      </c>
      <c r="E122">
        <v>0</v>
      </c>
      <c r="F122">
        <v>361232.77999999997</v>
      </c>
      <c r="G122">
        <f t="shared" si="1"/>
        <v>406696.426079172</v>
      </c>
    </row>
    <row r="123" spans="1:8" s="1" customFormat="1" x14ac:dyDescent="0.25">
      <c r="A123" s="1" t="s">
        <v>35</v>
      </c>
      <c r="B123" s="1" t="s">
        <v>0</v>
      </c>
      <c r="C123" s="1">
        <v>702062.95725944557</v>
      </c>
      <c r="D123" s="1">
        <v>8107</v>
      </c>
      <c r="E123" s="1">
        <v>0</v>
      </c>
      <c r="F123" s="1">
        <v>5467408.2420000015</v>
      </c>
      <c r="G123" s="1">
        <f t="shared" si="1"/>
        <v>6169471.1992594469</v>
      </c>
      <c r="H123"/>
    </row>
    <row r="124" spans="1:8" x14ac:dyDescent="0.25">
      <c r="A124" t="s">
        <v>35</v>
      </c>
      <c r="B124" t="s">
        <v>1</v>
      </c>
      <c r="C124">
        <v>731722.92170349578</v>
      </c>
      <c r="D124">
        <v>8273</v>
      </c>
      <c r="E124">
        <v>0</v>
      </c>
      <c r="F124">
        <v>5579359.6159999995</v>
      </c>
      <c r="G124">
        <f t="shared" si="1"/>
        <v>6311082.5377034955</v>
      </c>
    </row>
    <row r="125" spans="1:8" x14ac:dyDescent="0.25">
      <c r="A125" t="s">
        <v>35</v>
      </c>
      <c r="B125" t="s">
        <v>2</v>
      </c>
      <c r="C125">
        <v>319963.0801198936</v>
      </c>
      <c r="D125">
        <v>3742</v>
      </c>
      <c r="E125">
        <v>0</v>
      </c>
      <c r="F125">
        <v>2523626.6999999997</v>
      </c>
      <c r="G125">
        <f t="shared" si="1"/>
        <v>2843589.7801198931</v>
      </c>
    </row>
    <row r="126" spans="1:8" x14ac:dyDescent="0.25">
      <c r="A126" t="s">
        <v>35</v>
      </c>
      <c r="B126" t="s">
        <v>3</v>
      </c>
      <c r="C126">
        <v>289888.87036237901</v>
      </c>
      <c r="D126">
        <v>3236</v>
      </c>
      <c r="E126">
        <v>0</v>
      </c>
      <c r="F126">
        <v>2182377.3359999997</v>
      </c>
      <c r="G126">
        <f t="shared" si="1"/>
        <v>2472266.2063623788</v>
      </c>
    </row>
    <row r="127" spans="1:8" x14ac:dyDescent="0.25">
      <c r="A127" t="s">
        <v>35</v>
      </c>
      <c r="B127" t="s">
        <v>4</v>
      </c>
      <c r="C127">
        <v>1306943.9639801455</v>
      </c>
      <c r="D127">
        <v>14488</v>
      </c>
      <c r="E127">
        <v>0</v>
      </c>
      <c r="F127">
        <v>9770791.9889999963</v>
      </c>
      <c r="G127">
        <f t="shared" si="1"/>
        <v>11077735.952980142</v>
      </c>
    </row>
    <row r="128" spans="1:8" x14ac:dyDescent="0.25">
      <c r="A128" t="s">
        <v>35</v>
      </c>
      <c r="B128" t="s">
        <v>5</v>
      </c>
      <c r="C128">
        <v>1170408.7086622831</v>
      </c>
      <c r="D128">
        <v>13023</v>
      </c>
      <c r="E128">
        <v>0</v>
      </c>
      <c r="F128">
        <v>8782787.4140000027</v>
      </c>
      <c r="G128">
        <f t="shared" si="1"/>
        <v>9953196.1226622853</v>
      </c>
    </row>
    <row r="129" spans="1:7" x14ac:dyDescent="0.25">
      <c r="A129" t="s">
        <v>35</v>
      </c>
      <c r="B129" t="s">
        <v>6</v>
      </c>
      <c r="C129">
        <v>421536.03098136169</v>
      </c>
      <c r="D129">
        <v>5213</v>
      </c>
      <c r="E129">
        <v>0</v>
      </c>
      <c r="F129">
        <v>3515677.7090000026</v>
      </c>
      <c r="G129">
        <f t="shared" si="1"/>
        <v>3937213.7399813645</v>
      </c>
    </row>
    <row r="130" spans="1:7" x14ac:dyDescent="0.25">
      <c r="A130" t="s">
        <v>35</v>
      </c>
      <c r="B130" t="s">
        <v>7</v>
      </c>
      <c r="C130">
        <v>2032453.2059816755</v>
      </c>
      <c r="D130">
        <v>24561</v>
      </c>
      <c r="E130">
        <v>0</v>
      </c>
      <c r="F130">
        <v>16564082.141000004</v>
      </c>
      <c r="G130">
        <f t="shared" si="1"/>
        <v>18596535.346981682</v>
      </c>
    </row>
    <row r="131" spans="1:7" x14ac:dyDescent="0.25">
      <c r="A131" t="s">
        <v>35</v>
      </c>
      <c r="B131" t="s">
        <v>8</v>
      </c>
      <c r="C131">
        <v>248.54718807863307</v>
      </c>
      <c r="D131">
        <v>3</v>
      </c>
      <c r="E131">
        <v>0</v>
      </c>
      <c r="F131">
        <v>2023.2179999999998</v>
      </c>
      <c r="G131">
        <f t="shared" ref="G131:G194" si="2">+F131+C131</f>
        <v>2271.7651880786329</v>
      </c>
    </row>
    <row r="132" spans="1:7" x14ac:dyDescent="0.25">
      <c r="A132" t="s">
        <v>35</v>
      </c>
      <c r="B132" t="s">
        <v>9</v>
      </c>
      <c r="C132">
        <v>3071877.5465265187</v>
      </c>
      <c r="D132">
        <v>37907</v>
      </c>
      <c r="E132">
        <v>0</v>
      </c>
      <c r="F132">
        <v>25564702.648000002</v>
      </c>
      <c r="G132">
        <f t="shared" si="2"/>
        <v>28636580.19452652</v>
      </c>
    </row>
    <row r="133" spans="1:7" x14ac:dyDescent="0.25">
      <c r="A133" t="s">
        <v>35</v>
      </c>
      <c r="B133" t="s">
        <v>10</v>
      </c>
      <c r="C133">
        <v>931057.76654255937</v>
      </c>
      <c r="D133">
        <v>10136</v>
      </c>
      <c r="E133">
        <v>0</v>
      </c>
      <c r="F133">
        <v>6835777.720999999</v>
      </c>
      <c r="G133">
        <f t="shared" si="2"/>
        <v>7766835.4875425585</v>
      </c>
    </row>
    <row r="134" spans="1:7" x14ac:dyDescent="0.25">
      <c r="A134" t="s">
        <v>35</v>
      </c>
      <c r="B134" t="s">
        <v>11</v>
      </c>
      <c r="C134">
        <v>896012.61302347213</v>
      </c>
      <c r="D134">
        <v>10188</v>
      </c>
      <c r="E134">
        <v>0</v>
      </c>
      <c r="F134">
        <v>6870846.825000002</v>
      </c>
      <c r="G134">
        <f t="shared" si="2"/>
        <v>7766859.4380234741</v>
      </c>
    </row>
    <row r="135" spans="1:7" x14ac:dyDescent="0.25">
      <c r="A135" t="s">
        <v>35</v>
      </c>
      <c r="B135" t="s">
        <v>12</v>
      </c>
      <c r="C135">
        <v>1717461.0696233544</v>
      </c>
      <c r="D135">
        <v>21024</v>
      </c>
      <c r="E135">
        <v>0</v>
      </c>
      <c r="F135">
        <v>14178708.641000001</v>
      </c>
      <c r="G135">
        <f t="shared" si="2"/>
        <v>15896169.710623356</v>
      </c>
    </row>
    <row r="136" spans="1:7" x14ac:dyDescent="0.25">
      <c r="A136" t="s">
        <v>35</v>
      </c>
      <c r="B136" t="s">
        <v>13</v>
      </c>
      <c r="C136">
        <v>2807920.4327870104</v>
      </c>
      <c r="D136">
        <v>33979</v>
      </c>
      <c r="E136">
        <v>0</v>
      </c>
      <c r="F136">
        <v>22915636.458999995</v>
      </c>
      <c r="G136">
        <f t="shared" si="2"/>
        <v>25723556.891787007</v>
      </c>
    </row>
    <row r="137" spans="1:7" x14ac:dyDescent="0.25">
      <c r="A137" t="s">
        <v>35</v>
      </c>
      <c r="B137" t="s">
        <v>14</v>
      </c>
      <c r="C137">
        <v>1093524.7784832926</v>
      </c>
      <c r="D137">
        <v>13089</v>
      </c>
      <c r="E137">
        <v>0</v>
      </c>
      <c r="F137">
        <v>8827298.2019999977</v>
      </c>
      <c r="G137">
        <f t="shared" si="2"/>
        <v>9920822.9804832898</v>
      </c>
    </row>
    <row r="138" spans="1:7" x14ac:dyDescent="0.25">
      <c r="A138" t="s">
        <v>35</v>
      </c>
      <c r="B138" t="s">
        <v>15</v>
      </c>
      <c r="C138">
        <v>518386.58526933566</v>
      </c>
      <c r="D138">
        <v>6121</v>
      </c>
      <c r="E138">
        <v>0</v>
      </c>
      <c r="F138">
        <v>4128038.222000001</v>
      </c>
      <c r="G138">
        <f t="shared" si="2"/>
        <v>4646424.8072693367</v>
      </c>
    </row>
    <row r="139" spans="1:7" x14ac:dyDescent="0.25">
      <c r="A139" t="s">
        <v>35</v>
      </c>
      <c r="B139" t="s">
        <v>16</v>
      </c>
      <c r="C139">
        <v>544152.64376682066</v>
      </c>
      <c r="D139">
        <v>6503</v>
      </c>
      <c r="E139">
        <v>0</v>
      </c>
      <c r="F139">
        <v>4385661.2570000002</v>
      </c>
      <c r="G139">
        <f t="shared" si="2"/>
        <v>4929813.9007668206</v>
      </c>
    </row>
    <row r="140" spans="1:7" x14ac:dyDescent="0.25">
      <c r="A140" t="s">
        <v>35</v>
      </c>
      <c r="B140" t="s">
        <v>17</v>
      </c>
      <c r="C140">
        <v>280692.62440346961</v>
      </c>
      <c r="D140">
        <v>3313</v>
      </c>
      <c r="E140">
        <v>0</v>
      </c>
      <c r="F140">
        <v>2234306.5880000005</v>
      </c>
      <c r="G140">
        <f t="shared" si="2"/>
        <v>2514999.2124034702</v>
      </c>
    </row>
    <row r="141" spans="1:7" x14ac:dyDescent="0.25">
      <c r="A141" t="s">
        <v>35</v>
      </c>
      <c r="B141" t="s">
        <v>18</v>
      </c>
      <c r="C141">
        <v>925838.27559290815</v>
      </c>
      <c r="D141">
        <v>10598</v>
      </c>
      <c r="E141">
        <v>0</v>
      </c>
      <c r="F141">
        <v>7147353.2230000012</v>
      </c>
      <c r="G141">
        <f t="shared" si="2"/>
        <v>8073191.4985929094</v>
      </c>
    </row>
    <row r="142" spans="1:7" x14ac:dyDescent="0.25">
      <c r="A142" t="s">
        <v>35</v>
      </c>
      <c r="B142" t="s">
        <v>19</v>
      </c>
      <c r="C142">
        <v>720206.9019891856</v>
      </c>
      <c r="D142">
        <v>8894</v>
      </c>
      <c r="E142">
        <v>0</v>
      </c>
      <c r="F142">
        <v>5998165.6519999998</v>
      </c>
      <c r="G142">
        <f t="shared" si="2"/>
        <v>6718372.553989185</v>
      </c>
    </row>
    <row r="143" spans="1:7" x14ac:dyDescent="0.25">
      <c r="A143" t="s">
        <v>35</v>
      </c>
      <c r="B143" t="s">
        <v>20</v>
      </c>
      <c r="C143">
        <v>637440.68835900095</v>
      </c>
      <c r="D143">
        <v>7709</v>
      </c>
      <c r="E143">
        <v>0</v>
      </c>
      <c r="F143">
        <v>5198994.7150000008</v>
      </c>
      <c r="G143">
        <f t="shared" si="2"/>
        <v>5836435.4033590015</v>
      </c>
    </row>
    <row r="144" spans="1:7" x14ac:dyDescent="0.25">
      <c r="A144" t="s">
        <v>35</v>
      </c>
      <c r="B144" t="s">
        <v>21</v>
      </c>
      <c r="C144">
        <v>441171.25883957371</v>
      </c>
      <c r="D144">
        <v>5213</v>
      </c>
      <c r="E144">
        <v>0</v>
      </c>
      <c r="F144">
        <v>3515677.7079999996</v>
      </c>
      <c r="G144">
        <f t="shared" si="2"/>
        <v>3956848.9668395733</v>
      </c>
    </row>
    <row r="145" spans="1:8" x14ac:dyDescent="0.25">
      <c r="A145" t="s">
        <v>35</v>
      </c>
      <c r="B145" t="s">
        <v>22</v>
      </c>
      <c r="C145">
        <v>627830.19708662713</v>
      </c>
      <c r="D145">
        <v>6778</v>
      </c>
      <c r="E145">
        <v>0</v>
      </c>
      <c r="F145">
        <v>4571122.870000001</v>
      </c>
      <c r="G145">
        <f t="shared" si="2"/>
        <v>5198953.0670866277</v>
      </c>
    </row>
    <row r="146" spans="1:8" x14ac:dyDescent="0.25">
      <c r="A146" t="s">
        <v>35</v>
      </c>
      <c r="B146" t="s">
        <v>23</v>
      </c>
      <c r="C146">
        <v>191961.2782593976</v>
      </c>
      <c r="D146">
        <v>2245</v>
      </c>
      <c r="E146">
        <v>0</v>
      </c>
      <c r="F146">
        <v>1514041.1400000004</v>
      </c>
      <c r="G146">
        <f t="shared" si="2"/>
        <v>1706002.4182593981</v>
      </c>
    </row>
    <row r="147" spans="1:8" x14ac:dyDescent="0.25">
      <c r="A147" t="s">
        <v>35</v>
      </c>
      <c r="B147" t="s">
        <v>42</v>
      </c>
      <c r="C147">
        <v>35956.493208708911</v>
      </c>
      <c r="D147">
        <v>435</v>
      </c>
      <c r="E147">
        <v>0</v>
      </c>
      <c r="F147">
        <v>293366.54500000004</v>
      </c>
      <c r="G147">
        <f t="shared" si="2"/>
        <v>329323.03820870898</v>
      </c>
    </row>
    <row r="148" spans="1:8" s="1" customFormat="1" x14ac:dyDescent="0.25">
      <c r="A148" s="1" t="s">
        <v>36</v>
      </c>
      <c r="B148" s="1" t="s">
        <v>0</v>
      </c>
      <c r="C148" s="1">
        <v>317639.65692114574</v>
      </c>
      <c r="D148" s="1">
        <v>1312</v>
      </c>
      <c r="E148" s="1">
        <v>0</v>
      </c>
      <c r="F148" s="1">
        <v>2536447.8670000001</v>
      </c>
      <c r="G148" s="1">
        <f t="shared" si="2"/>
        <v>2854087.5239211461</v>
      </c>
      <c r="H148"/>
    </row>
    <row r="149" spans="1:8" x14ac:dyDescent="0.25">
      <c r="A149" t="s">
        <v>36</v>
      </c>
      <c r="B149" t="s">
        <v>1</v>
      </c>
      <c r="C149">
        <v>180585.798927308</v>
      </c>
      <c r="D149">
        <v>765</v>
      </c>
      <c r="E149">
        <v>0</v>
      </c>
      <c r="F149">
        <v>1478950.1660000002</v>
      </c>
      <c r="G149">
        <f t="shared" si="2"/>
        <v>1659535.9649273083</v>
      </c>
    </row>
    <row r="150" spans="1:8" x14ac:dyDescent="0.25">
      <c r="A150" t="s">
        <v>36</v>
      </c>
      <c r="B150" t="s">
        <v>2</v>
      </c>
      <c r="C150">
        <v>196850.48015519799</v>
      </c>
      <c r="D150">
        <v>806</v>
      </c>
      <c r="E150">
        <v>0</v>
      </c>
      <c r="F150">
        <v>1558214.159</v>
      </c>
      <c r="G150">
        <f t="shared" si="2"/>
        <v>1755064.6391551979</v>
      </c>
    </row>
    <row r="151" spans="1:8" x14ac:dyDescent="0.25">
      <c r="A151" t="s">
        <v>36</v>
      </c>
      <c r="B151" t="s">
        <v>3</v>
      </c>
      <c r="C151">
        <v>91847.611639849376</v>
      </c>
      <c r="D151">
        <v>402</v>
      </c>
      <c r="E151">
        <v>0</v>
      </c>
      <c r="F151">
        <v>777173.81200000015</v>
      </c>
      <c r="G151">
        <f t="shared" si="2"/>
        <v>869021.42363984953</v>
      </c>
    </row>
    <row r="152" spans="1:8" x14ac:dyDescent="0.25">
      <c r="A152" t="s">
        <v>36</v>
      </c>
      <c r="B152" t="s">
        <v>4</v>
      </c>
      <c r="C152">
        <v>277934.69980600255</v>
      </c>
      <c r="D152">
        <v>1173</v>
      </c>
      <c r="E152">
        <v>0</v>
      </c>
      <c r="F152">
        <v>2267723.59</v>
      </c>
      <c r="G152">
        <f t="shared" si="2"/>
        <v>2545658.2898060023</v>
      </c>
    </row>
    <row r="153" spans="1:8" x14ac:dyDescent="0.25">
      <c r="A153" t="s">
        <v>36</v>
      </c>
      <c r="B153" t="s">
        <v>5</v>
      </c>
      <c r="C153">
        <v>237033.81024763209</v>
      </c>
      <c r="D153">
        <v>981</v>
      </c>
      <c r="E153">
        <v>0</v>
      </c>
      <c r="F153">
        <v>1896536.0929999999</v>
      </c>
      <c r="G153">
        <f t="shared" si="2"/>
        <v>2133569.9032476321</v>
      </c>
    </row>
    <row r="154" spans="1:8" x14ac:dyDescent="0.25">
      <c r="A154" t="s">
        <v>36</v>
      </c>
      <c r="B154" t="s">
        <v>6</v>
      </c>
      <c r="C154">
        <v>657523.65728631744</v>
      </c>
      <c r="D154">
        <v>2741</v>
      </c>
      <c r="E154">
        <v>0</v>
      </c>
      <c r="F154">
        <v>5299088.1060000015</v>
      </c>
      <c r="G154">
        <f t="shared" si="2"/>
        <v>5956611.7632863186</v>
      </c>
    </row>
    <row r="155" spans="1:8" x14ac:dyDescent="0.25">
      <c r="A155" t="s">
        <v>36</v>
      </c>
      <c r="B155" t="s">
        <v>7</v>
      </c>
      <c r="C155">
        <v>398723.87657195021</v>
      </c>
      <c r="D155">
        <v>1679</v>
      </c>
      <c r="E155">
        <v>0</v>
      </c>
      <c r="F155">
        <v>3245957.2949999995</v>
      </c>
      <c r="G155">
        <f t="shared" si="2"/>
        <v>3644681.1715719495</v>
      </c>
    </row>
    <row r="156" spans="1:8" x14ac:dyDescent="0.25">
      <c r="A156" t="s">
        <v>36</v>
      </c>
      <c r="B156" t="s">
        <v>8</v>
      </c>
      <c r="C156">
        <v>4305.3567956179395</v>
      </c>
      <c r="D156">
        <v>21</v>
      </c>
      <c r="E156">
        <v>0</v>
      </c>
      <c r="F156">
        <v>40598.633000000002</v>
      </c>
      <c r="G156">
        <f t="shared" si="2"/>
        <v>44903.989795617941</v>
      </c>
    </row>
    <row r="157" spans="1:8" x14ac:dyDescent="0.25">
      <c r="A157" t="s">
        <v>36</v>
      </c>
      <c r="B157" t="s">
        <v>9</v>
      </c>
      <c r="C157">
        <v>2276098.625950017</v>
      </c>
      <c r="D157">
        <v>9354</v>
      </c>
      <c r="E157">
        <v>0</v>
      </c>
      <c r="F157">
        <v>18083790.640999999</v>
      </c>
      <c r="G157">
        <f t="shared" si="2"/>
        <v>20359889.266950015</v>
      </c>
    </row>
    <row r="158" spans="1:8" x14ac:dyDescent="0.25">
      <c r="A158" t="s">
        <v>36</v>
      </c>
      <c r="B158" t="s">
        <v>10</v>
      </c>
      <c r="C158">
        <v>287741.34584046563</v>
      </c>
      <c r="D158">
        <v>1159</v>
      </c>
      <c r="E158">
        <v>0</v>
      </c>
      <c r="F158">
        <v>2240657.8320000004</v>
      </c>
      <c r="G158">
        <f t="shared" si="2"/>
        <v>2528399.1778404661</v>
      </c>
    </row>
    <row r="159" spans="1:8" x14ac:dyDescent="0.25">
      <c r="A159" t="s">
        <v>36</v>
      </c>
      <c r="B159" t="s">
        <v>11</v>
      </c>
      <c r="C159">
        <v>525971.08853132487</v>
      </c>
      <c r="D159">
        <v>2265</v>
      </c>
      <c r="E159">
        <v>0</v>
      </c>
      <c r="F159">
        <v>4378852.4460000014</v>
      </c>
      <c r="G159">
        <f t="shared" si="2"/>
        <v>4904823.534531326</v>
      </c>
    </row>
    <row r="160" spans="1:8" x14ac:dyDescent="0.25">
      <c r="A160" t="s">
        <v>36</v>
      </c>
      <c r="B160" t="s">
        <v>12</v>
      </c>
      <c r="C160">
        <v>932588.11922857468</v>
      </c>
      <c r="D160">
        <v>3959</v>
      </c>
      <c r="E160">
        <v>0</v>
      </c>
      <c r="F160">
        <v>7653808.7570000011</v>
      </c>
      <c r="G160">
        <f t="shared" si="2"/>
        <v>8586396.8762285765</v>
      </c>
    </row>
    <row r="161" spans="1:8" x14ac:dyDescent="0.25">
      <c r="A161" t="s">
        <v>36</v>
      </c>
      <c r="B161" t="s">
        <v>13</v>
      </c>
      <c r="C161">
        <v>1563801.2627638935</v>
      </c>
      <c r="D161">
        <v>6609</v>
      </c>
      <c r="E161">
        <v>0</v>
      </c>
      <c r="F161">
        <v>12776969.457999999</v>
      </c>
      <c r="G161">
        <f t="shared" si="2"/>
        <v>14340770.720763892</v>
      </c>
    </row>
    <row r="162" spans="1:8" x14ac:dyDescent="0.25">
      <c r="A162" t="s">
        <v>36</v>
      </c>
      <c r="B162" t="s">
        <v>14</v>
      </c>
      <c r="C162">
        <v>141359.21478945567</v>
      </c>
      <c r="D162">
        <v>585</v>
      </c>
      <c r="E162">
        <v>0</v>
      </c>
      <c r="F162">
        <v>1130961.8930000002</v>
      </c>
      <c r="G162">
        <f t="shared" si="2"/>
        <v>1272321.1077894559</v>
      </c>
    </row>
    <row r="163" spans="1:8" x14ac:dyDescent="0.25">
      <c r="A163" t="s">
        <v>36</v>
      </c>
      <c r="B163" t="s">
        <v>15</v>
      </c>
      <c r="C163">
        <v>105242.05500399407</v>
      </c>
      <c r="D163">
        <v>436</v>
      </c>
      <c r="E163">
        <v>0</v>
      </c>
      <c r="F163">
        <v>842904.93000000017</v>
      </c>
      <c r="G163">
        <f t="shared" si="2"/>
        <v>948146.9850039942</v>
      </c>
    </row>
    <row r="164" spans="1:8" x14ac:dyDescent="0.25">
      <c r="A164" t="s">
        <v>36</v>
      </c>
      <c r="B164" t="s">
        <v>16</v>
      </c>
      <c r="C164">
        <v>104524.49553805774</v>
      </c>
      <c r="D164">
        <v>420</v>
      </c>
      <c r="E164">
        <v>0</v>
      </c>
      <c r="F164">
        <v>811972.63699999987</v>
      </c>
      <c r="G164">
        <f t="shared" si="2"/>
        <v>916497.13253805763</v>
      </c>
    </row>
    <row r="165" spans="1:8" x14ac:dyDescent="0.25">
      <c r="A165" t="s">
        <v>36</v>
      </c>
      <c r="B165" t="s">
        <v>17</v>
      </c>
      <c r="C165">
        <v>116005.44699303892</v>
      </c>
      <c r="D165">
        <v>446</v>
      </c>
      <c r="E165">
        <v>0</v>
      </c>
      <c r="F165">
        <v>862237.61400000029</v>
      </c>
      <c r="G165">
        <f t="shared" si="2"/>
        <v>978243.06099303917</v>
      </c>
    </row>
    <row r="166" spans="1:8" x14ac:dyDescent="0.25">
      <c r="A166" t="s">
        <v>36</v>
      </c>
      <c r="B166" t="s">
        <v>18</v>
      </c>
      <c r="C166">
        <v>957224.32755905506</v>
      </c>
      <c r="D166">
        <v>4137</v>
      </c>
      <c r="E166">
        <v>0</v>
      </c>
      <c r="F166">
        <v>7997930.4970000014</v>
      </c>
      <c r="G166">
        <f t="shared" si="2"/>
        <v>8955154.8245590571</v>
      </c>
    </row>
    <row r="167" spans="1:8" x14ac:dyDescent="0.25">
      <c r="A167" t="s">
        <v>36</v>
      </c>
      <c r="B167" t="s">
        <v>19</v>
      </c>
      <c r="C167">
        <v>241817.54002054091</v>
      </c>
      <c r="D167">
        <v>861</v>
      </c>
      <c r="E167">
        <v>0</v>
      </c>
      <c r="F167">
        <v>1664543.9120000002</v>
      </c>
      <c r="G167">
        <f t="shared" si="2"/>
        <v>1906361.4520205411</v>
      </c>
    </row>
    <row r="168" spans="1:8" x14ac:dyDescent="0.25">
      <c r="A168" t="s">
        <v>36</v>
      </c>
      <c r="B168" t="s">
        <v>20</v>
      </c>
      <c r="C168">
        <v>342036.67876298074</v>
      </c>
      <c r="D168">
        <v>1342</v>
      </c>
      <c r="E168">
        <v>0</v>
      </c>
      <c r="F168">
        <v>2594445.9100000006</v>
      </c>
      <c r="G168">
        <f t="shared" si="2"/>
        <v>2936482.5887629814</v>
      </c>
    </row>
    <row r="169" spans="1:8" x14ac:dyDescent="0.25">
      <c r="A169" t="s">
        <v>36</v>
      </c>
      <c r="B169" t="s">
        <v>21</v>
      </c>
      <c r="C169">
        <v>214071.90733766975</v>
      </c>
      <c r="D169">
        <v>830</v>
      </c>
      <c r="E169">
        <v>0</v>
      </c>
      <c r="F169">
        <v>1604612.5980000002</v>
      </c>
      <c r="G169">
        <f t="shared" si="2"/>
        <v>1818684.50533767</v>
      </c>
    </row>
    <row r="170" spans="1:8" x14ac:dyDescent="0.25">
      <c r="A170" t="s">
        <v>36</v>
      </c>
      <c r="B170" t="s">
        <v>22</v>
      </c>
      <c r="C170">
        <v>201395.02343946137</v>
      </c>
      <c r="D170">
        <v>845</v>
      </c>
      <c r="E170">
        <v>0</v>
      </c>
      <c r="F170">
        <v>1633611.6239999998</v>
      </c>
      <c r="G170">
        <f t="shared" si="2"/>
        <v>1835006.6474394612</v>
      </c>
    </row>
    <row r="171" spans="1:8" x14ac:dyDescent="0.25">
      <c r="A171" t="s">
        <v>36</v>
      </c>
      <c r="B171" t="s">
        <v>23</v>
      </c>
      <c r="C171">
        <v>107633.91989044848</v>
      </c>
      <c r="D171">
        <v>457</v>
      </c>
      <c r="E171">
        <v>0</v>
      </c>
      <c r="F171">
        <v>883503.5639999999</v>
      </c>
      <c r="G171">
        <f t="shared" si="2"/>
        <v>991137.48389044835</v>
      </c>
    </row>
    <row r="172" spans="1:8" x14ac:dyDescent="0.25">
      <c r="A172" t="s">
        <v>36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f t="shared" si="2"/>
        <v>0</v>
      </c>
    </row>
    <row r="173" spans="1:8" s="1" customFormat="1" x14ac:dyDescent="0.25">
      <c r="A173" s="1" t="s">
        <v>37</v>
      </c>
      <c r="B173" s="1" t="s">
        <v>0</v>
      </c>
      <c r="C173" s="1">
        <v>113054.35843649133</v>
      </c>
      <c r="D173" s="1">
        <v>3351</v>
      </c>
      <c r="E173" s="1">
        <v>0</v>
      </c>
      <c r="F173" s="1">
        <v>1221265.8179999997</v>
      </c>
      <c r="G173" s="1">
        <f t="shared" si="2"/>
        <v>1334320.1764364911</v>
      </c>
      <c r="H173"/>
    </row>
    <row r="174" spans="1:8" x14ac:dyDescent="0.25">
      <c r="A174" t="s">
        <v>37</v>
      </c>
      <c r="B174" t="s">
        <v>1</v>
      </c>
      <c r="C174">
        <v>62110.110499060058</v>
      </c>
      <c r="D174">
        <v>1988</v>
      </c>
      <c r="E174">
        <v>0</v>
      </c>
      <c r="F174">
        <v>724522.95699999994</v>
      </c>
      <c r="G174">
        <f t="shared" si="2"/>
        <v>786633.06749905995</v>
      </c>
    </row>
    <row r="175" spans="1:8" x14ac:dyDescent="0.25">
      <c r="A175" t="s">
        <v>37</v>
      </c>
      <c r="B175" t="s">
        <v>2</v>
      </c>
      <c r="C175">
        <v>51595.589920192957</v>
      </c>
      <c r="D175">
        <v>1621</v>
      </c>
      <c r="E175">
        <v>0</v>
      </c>
      <c r="F175">
        <v>590770.478</v>
      </c>
      <c r="G175">
        <f t="shared" si="2"/>
        <v>642366.06792019296</v>
      </c>
    </row>
    <row r="176" spans="1:8" x14ac:dyDescent="0.25">
      <c r="A176" t="s">
        <v>37</v>
      </c>
      <c r="B176" t="s">
        <v>3</v>
      </c>
      <c r="C176">
        <v>41406.7403327067</v>
      </c>
      <c r="D176">
        <v>1226</v>
      </c>
      <c r="E176">
        <v>0</v>
      </c>
      <c r="F176">
        <v>446813.45899999997</v>
      </c>
      <c r="G176">
        <f t="shared" si="2"/>
        <v>488220.19933270669</v>
      </c>
    </row>
    <row r="177" spans="1:7" x14ac:dyDescent="0.25">
      <c r="A177" t="s">
        <v>37</v>
      </c>
      <c r="B177" t="s">
        <v>4</v>
      </c>
      <c r="C177">
        <v>105052.15693399071</v>
      </c>
      <c r="D177">
        <v>3340</v>
      </c>
      <c r="E177">
        <v>0</v>
      </c>
      <c r="F177">
        <v>1217256.8809999996</v>
      </c>
      <c r="G177">
        <f t="shared" si="2"/>
        <v>1322309.0379339904</v>
      </c>
    </row>
    <row r="178" spans="1:7" x14ac:dyDescent="0.25">
      <c r="A178" t="s">
        <v>37</v>
      </c>
      <c r="B178" t="s">
        <v>5</v>
      </c>
      <c r="C178">
        <v>136595.718670592</v>
      </c>
      <c r="D178">
        <v>4157</v>
      </c>
      <c r="E178">
        <v>0</v>
      </c>
      <c r="F178">
        <v>1515011.034</v>
      </c>
      <c r="G178">
        <f t="shared" si="2"/>
        <v>1651606.7526705919</v>
      </c>
    </row>
    <row r="179" spans="1:7" x14ac:dyDescent="0.25">
      <c r="A179" t="s">
        <v>37</v>
      </c>
      <c r="B179" t="s">
        <v>6</v>
      </c>
      <c r="C179">
        <v>149994.75374454653</v>
      </c>
      <c r="D179">
        <v>4481</v>
      </c>
      <c r="E179">
        <v>0</v>
      </c>
      <c r="F179">
        <v>1633092.247</v>
      </c>
      <c r="G179">
        <f t="shared" si="2"/>
        <v>1783087.0007445465</v>
      </c>
    </row>
    <row r="180" spans="1:7" x14ac:dyDescent="0.25">
      <c r="A180" t="s">
        <v>37</v>
      </c>
      <c r="B180" t="s">
        <v>7</v>
      </c>
      <c r="C180">
        <v>233040.85654666054</v>
      </c>
      <c r="D180">
        <v>7371</v>
      </c>
      <c r="E180">
        <v>0</v>
      </c>
      <c r="F180">
        <v>2686347.4480000008</v>
      </c>
      <c r="G180">
        <f t="shared" si="2"/>
        <v>2919388.3045466612</v>
      </c>
    </row>
    <row r="181" spans="1:7" x14ac:dyDescent="0.25">
      <c r="A181" t="s">
        <v>37</v>
      </c>
      <c r="B181" t="s">
        <v>8</v>
      </c>
      <c r="C181">
        <v>279.14656404071934</v>
      </c>
      <c r="D181">
        <v>8</v>
      </c>
      <c r="E181">
        <v>0</v>
      </c>
      <c r="F181">
        <v>2915.5849999999996</v>
      </c>
      <c r="G181">
        <f t="shared" si="2"/>
        <v>3194.7315640407187</v>
      </c>
    </row>
    <row r="182" spans="1:7" x14ac:dyDescent="0.25">
      <c r="A182" t="s">
        <v>37</v>
      </c>
      <c r="B182" t="s">
        <v>9</v>
      </c>
      <c r="C182">
        <v>934489.6475536481</v>
      </c>
      <c r="D182">
        <v>29869</v>
      </c>
      <c r="E182">
        <v>0</v>
      </c>
      <c r="F182">
        <v>10885702.310999999</v>
      </c>
      <c r="G182">
        <f t="shared" si="2"/>
        <v>11820191.958553648</v>
      </c>
    </row>
    <row r="183" spans="1:7" x14ac:dyDescent="0.25">
      <c r="A183" t="s">
        <v>37</v>
      </c>
      <c r="B183" t="s">
        <v>10</v>
      </c>
      <c r="C183">
        <v>112170.39431702904</v>
      </c>
      <c r="D183">
        <v>3308</v>
      </c>
      <c r="E183">
        <v>0</v>
      </c>
      <c r="F183">
        <v>1205594.5379999997</v>
      </c>
      <c r="G183">
        <f t="shared" si="2"/>
        <v>1317764.9323170288</v>
      </c>
    </row>
    <row r="184" spans="1:7" x14ac:dyDescent="0.25">
      <c r="A184" t="s">
        <v>37</v>
      </c>
      <c r="B184" t="s">
        <v>11</v>
      </c>
      <c r="C184">
        <v>110681.61264214522</v>
      </c>
      <c r="D184">
        <v>3551</v>
      </c>
      <c r="E184">
        <v>0</v>
      </c>
      <c r="F184">
        <v>1294155.4550000003</v>
      </c>
      <c r="G184">
        <f t="shared" si="2"/>
        <v>1404837.0676421456</v>
      </c>
    </row>
    <row r="185" spans="1:7" x14ac:dyDescent="0.25">
      <c r="A185" t="s">
        <v>37</v>
      </c>
      <c r="B185" t="s">
        <v>12</v>
      </c>
      <c r="C185">
        <v>308270.85555563436</v>
      </c>
      <c r="D185">
        <v>10171</v>
      </c>
      <c r="E185">
        <v>0</v>
      </c>
      <c r="F185">
        <v>3706802.3130000001</v>
      </c>
      <c r="G185">
        <f t="shared" si="2"/>
        <v>4015073.1685556346</v>
      </c>
    </row>
    <row r="186" spans="1:7" x14ac:dyDescent="0.25">
      <c r="A186" t="s">
        <v>37</v>
      </c>
      <c r="B186" t="s">
        <v>13</v>
      </c>
      <c r="C186">
        <v>500649.36260703014</v>
      </c>
      <c r="D186">
        <v>16149</v>
      </c>
      <c r="E186">
        <v>0</v>
      </c>
      <c r="F186">
        <v>5885473.4560000012</v>
      </c>
      <c r="G186">
        <f t="shared" si="2"/>
        <v>6386122.8186070314</v>
      </c>
    </row>
    <row r="187" spans="1:7" x14ac:dyDescent="0.25">
      <c r="A187" t="s">
        <v>37</v>
      </c>
      <c r="B187" t="s">
        <v>14</v>
      </c>
      <c r="C187">
        <v>76811.829538537932</v>
      </c>
      <c r="D187">
        <v>2648</v>
      </c>
      <c r="E187">
        <v>0</v>
      </c>
      <c r="F187">
        <v>965058.74999999965</v>
      </c>
      <c r="G187">
        <f t="shared" si="2"/>
        <v>1041870.5795385375</v>
      </c>
    </row>
    <row r="188" spans="1:7" x14ac:dyDescent="0.25">
      <c r="A188" t="s">
        <v>37</v>
      </c>
      <c r="B188" t="s">
        <v>15</v>
      </c>
      <c r="C188">
        <v>86814.581416663714</v>
      </c>
      <c r="D188">
        <v>2681</v>
      </c>
      <c r="E188">
        <v>0</v>
      </c>
      <c r="F188">
        <v>977085.53699999978</v>
      </c>
      <c r="G188">
        <f t="shared" si="2"/>
        <v>1063900.1184166635</v>
      </c>
    </row>
    <row r="189" spans="1:7" x14ac:dyDescent="0.25">
      <c r="A189" t="s">
        <v>37</v>
      </c>
      <c r="B189" t="s">
        <v>16</v>
      </c>
      <c r="C189">
        <v>60900.475388216939</v>
      </c>
      <c r="D189">
        <v>2105</v>
      </c>
      <c r="E189">
        <v>0</v>
      </c>
      <c r="F189">
        <v>767163.39100000006</v>
      </c>
      <c r="G189">
        <f t="shared" si="2"/>
        <v>828063.86638821696</v>
      </c>
    </row>
    <row r="190" spans="1:7" x14ac:dyDescent="0.25">
      <c r="A190" t="s">
        <v>37</v>
      </c>
      <c r="B190" t="s">
        <v>17</v>
      </c>
      <c r="C190">
        <v>49036.746416486363</v>
      </c>
      <c r="D190">
        <v>1607</v>
      </c>
      <c r="E190">
        <v>0</v>
      </c>
      <c r="F190">
        <v>585668.20700000005</v>
      </c>
      <c r="G190">
        <f t="shared" si="2"/>
        <v>634704.95341648639</v>
      </c>
    </row>
    <row r="191" spans="1:7" x14ac:dyDescent="0.25">
      <c r="A191" t="s">
        <v>37</v>
      </c>
      <c r="B191" t="s">
        <v>18</v>
      </c>
      <c r="C191">
        <v>304734.99907778524</v>
      </c>
      <c r="D191">
        <v>9626</v>
      </c>
      <c r="E191">
        <v>0</v>
      </c>
      <c r="F191">
        <v>3508178.0609999993</v>
      </c>
      <c r="G191">
        <f t="shared" si="2"/>
        <v>3812913.0600777846</v>
      </c>
    </row>
    <row r="192" spans="1:7" x14ac:dyDescent="0.25">
      <c r="A192" t="s">
        <v>37</v>
      </c>
      <c r="B192" t="s">
        <v>19</v>
      </c>
      <c r="C192">
        <v>154786.76976057887</v>
      </c>
      <c r="D192">
        <v>4680</v>
      </c>
      <c r="E192">
        <v>0</v>
      </c>
      <c r="F192">
        <v>1705617.425</v>
      </c>
      <c r="G192">
        <f t="shared" si="2"/>
        <v>1860404.1947605789</v>
      </c>
    </row>
    <row r="193" spans="1:8" x14ac:dyDescent="0.25">
      <c r="A193" t="s">
        <v>37</v>
      </c>
      <c r="B193" t="s">
        <v>20</v>
      </c>
      <c r="C193">
        <v>132966.81333806264</v>
      </c>
      <c r="D193">
        <v>4271</v>
      </c>
      <c r="E193">
        <v>0</v>
      </c>
      <c r="F193">
        <v>1556558.1250000005</v>
      </c>
      <c r="G193">
        <f t="shared" si="2"/>
        <v>1689524.9383380632</v>
      </c>
    </row>
    <row r="194" spans="1:8" x14ac:dyDescent="0.25">
      <c r="A194" t="s">
        <v>37</v>
      </c>
      <c r="B194" t="s">
        <v>21</v>
      </c>
      <c r="C194">
        <v>71089.324975703188</v>
      </c>
      <c r="D194">
        <v>2332</v>
      </c>
      <c r="E194">
        <v>0</v>
      </c>
      <c r="F194">
        <v>849893.12899999996</v>
      </c>
      <c r="G194">
        <f t="shared" si="2"/>
        <v>920982.4539757031</v>
      </c>
    </row>
    <row r="195" spans="1:8" x14ac:dyDescent="0.25">
      <c r="A195" t="s">
        <v>37</v>
      </c>
      <c r="B195" t="s">
        <v>22</v>
      </c>
      <c r="C195">
        <v>84627.933331678083</v>
      </c>
      <c r="D195">
        <v>2667</v>
      </c>
      <c r="E195">
        <v>0</v>
      </c>
      <c r="F195">
        <v>971983.26699999964</v>
      </c>
      <c r="G195">
        <f t="shared" ref="G195:G222" si="3">+F195+C195</f>
        <v>1056611.2003316777</v>
      </c>
    </row>
    <row r="196" spans="1:8" x14ac:dyDescent="0.25">
      <c r="A196" t="s">
        <v>37</v>
      </c>
      <c r="B196" t="s">
        <v>23</v>
      </c>
      <c r="C196">
        <v>49455.466262547438</v>
      </c>
      <c r="D196">
        <v>1399</v>
      </c>
      <c r="E196">
        <v>0</v>
      </c>
      <c r="F196">
        <v>509862.98700000008</v>
      </c>
      <c r="G196">
        <f t="shared" si="3"/>
        <v>559318.4532625475</v>
      </c>
    </row>
    <row r="197" spans="1:8" x14ac:dyDescent="0.25">
      <c r="A197" t="s">
        <v>37</v>
      </c>
      <c r="B197" t="s">
        <v>42</v>
      </c>
      <c r="C197">
        <v>4373.2961699712696</v>
      </c>
      <c r="D197">
        <v>141</v>
      </c>
      <c r="E197">
        <v>0</v>
      </c>
      <c r="F197">
        <v>51387.191000000006</v>
      </c>
      <c r="G197">
        <f t="shared" si="3"/>
        <v>55760.487169971275</v>
      </c>
    </row>
    <row r="198" spans="1:8" s="1" customFormat="1" x14ac:dyDescent="0.25">
      <c r="A198" s="1" t="s">
        <v>38</v>
      </c>
      <c r="B198" s="1" t="s">
        <v>0</v>
      </c>
      <c r="C198" s="1">
        <v>1201106.6371265317</v>
      </c>
      <c r="D198" s="1">
        <v>13976</v>
      </c>
      <c r="E198" s="1">
        <v>0</v>
      </c>
      <c r="F198" s="1">
        <v>9980152.5150000006</v>
      </c>
      <c r="G198" s="1">
        <f t="shared" si="3"/>
        <v>11181259.152126532</v>
      </c>
      <c r="H198"/>
    </row>
    <row r="199" spans="1:8" x14ac:dyDescent="0.25">
      <c r="A199" t="s">
        <v>38</v>
      </c>
      <c r="B199" t="s">
        <v>1</v>
      </c>
      <c r="C199">
        <v>851443.95292333304</v>
      </c>
      <c r="D199">
        <v>10127</v>
      </c>
      <c r="E199">
        <v>0</v>
      </c>
      <c r="F199">
        <v>7231611.657999998</v>
      </c>
      <c r="G199">
        <f t="shared" si="3"/>
        <v>8083055.6109233312</v>
      </c>
    </row>
    <row r="200" spans="1:8" x14ac:dyDescent="0.25">
      <c r="A200" t="s">
        <v>38</v>
      </c>
      <c r="B200" t="s">
        <v>2</v>
      </c>
      <c r="C200">
        <v>571188.655096389</v>
      </c>
      <c r="D200">
        <v>6642</v>
      </c>
      <c r="E200">
        <v>0</v>
      </c>
      <c r="F200">
        <v>4743000.3579999991</v>
      </c>
      <c r="G200">
        <f t="shared" si="3"/>
        <v>5314189.0130963884</v>
      </c>
    </row>
    <row r="201" spans="1:8" x14ac:dyDescent="0.25">
      <c r="A201" t="s">
        <v>38</v>
      </c>
      <c r="B201" t="s">
        <v>3</v>
      </c>
      <c r="C201">
        <v>457406.05447957839</v>
      </c>
      <c r="D201">
        <v>5780</v>
      </c>
      <c r="E201">
        <v>0</v>
      </c>
      <c r="F201">
        <v>4127452.8860000009</v>
      </c>
      <c r="G201">
        <f t="shared" si="3"/>
        <v>4584858.9404795794</v>
      </c>
    </row>
    <row r="202" spans="1:8" x14ac:dyDescent="0.25">
      <c r="A202" t="s">
        <v>38</v>
      </c>
      <c r="B202" t="s">
        <v>4</v>
      </c>
      <c r="C202">
        <v>1703675.631543244</v>
      </c>
      <c r="D202">
        <v>19996</v>
      </c>
      <c r="E202">
        <v>0</v>
      </c>
      <c r="F202">
        <v>14278987.531000003</v>
      </c>
      <c r="G202">
        <f t="shared" si="3"/>
        <v>15982663.162543247</v>
      </c>
    </row>
    <row r="203" spans="1:8" x14ac:dyDescent="0.25">
      <c r="A203" t="s">
        <v>38</v>
      </c>
      <c r="B203" t="s">
        <v>5</v>
      </c>
      <c r="C203">
        <v>1669015.7008938158</v>
      </c>
      <c r="D203">
        <v>19673</v>
      </c>
      <c r="E203">
        <v>0</v>
      </c>
      <c r="F203">
        <v>14048335.750999995</v>
      </c>
      <c r="G203">
        <f t="shared" si="3"/>
        <v>15717351.45189381</v>
      </c>
    </row>
    <row r="204" spans="1:8" x14ac:dyDescent="0.25">
      <c r="A204" t="s">
        <v>38</v>
      </c>
      <c r="B204" t="s">
        <v>6</v>
      </c>
      <c r="C204">
        <v>780811.21546351304</v>
      </c>
      <c r="D204">
        <v>9279</v>
      </c>
      <c r="E204">
        <v>0</v>
      </c>
      <c r="F204">
        <v>6626061.4740000013</v>
      </c>
      <c r="G204">
        <f t="shared" si="3"/>
        <v>7406872.6894635148</v>
      </c>
    </row>
    <row r="205" spans="1:8" x14ac:dyDescent="0.25">
      <c r="A205" t="s">
        <v>38</v>
      </c>
      <c r="B205" t="s">
        <v>7</v>
      </c>
      <c r="C205">
        <v>1151392.3931647253</v>
      </c>
      <c r="D205">
        <v>13625</v>
      </c>
      <c r="E205">
        <v>0</v>
      </c>
      <c r="F205">
        <v>9729506.1589999981</v>
      </c>
      <c r="G205">
        <f t="shared" si="3"/>
        <v>10880898.552164724</v>
      </c>
    </row>
    <row r="206" spans="1:8" x14ac:dyDescent="0.25">
      <c r="A206" t="s">
        <v>38</v>
      </c>
      <c r="B206" t="s">
        <v>8</v>
      </c>
      <c r="C206">
        <v>787.72569657791928</v>
      </c>
      <c r="D206">
        <v>11</v>
      </c>
      <c r="E206">
        <v>0</v>
      </c>
      <c r="F206">
        <v>7855.0140000000001</v>
      </c>
      <c r="G206">
        <f t="shared" si="3"/>
        <v>8642.7396965779189</v>
      </c>
    </row>
    <row r="207" spans="1:8" x14ac:dyDescent="0.25">
      <c r="A207" t="s">
        <v>38</v>
      </c>
      <c r="B207" t="s">
        <v>9</v>
      </c>
      <c r="C207">
        <v>4381417.849443784</v>
      </c>
      <c r="D207">
        <v>51920</v>
      </c>
      <c r="E207">
        <v>0</v>
      </c>
      <c r="F207">
        <v>37075666.762999989</v>
      </c>
      <c r="G207">
        <f t="shared" si="3"/>
        <v>41457084.612443775</v>
      </c>
    </row>
    <row r="208" spans="1:8" x14ac:dyDescent="0.25">
      <c r="A208" t="s">
        <v>38</v>
      </c>
      <c r="B208" t="s">
        <v>10</v>
      </c>
      <c r="C208">
        <v>1301235.325669325</v>
      </c>
      <c r="D208">
        <v>15232</v>
      </c>
      <c r="E208">
        <v>0</v>
      </c>
      <c r="F208">
        <v>10877052.314000001</v>
      </c>
      <c r="G208">
        <f t="shared" si="3"/>
        <v>12178287.639669325</v>
      </c>
    </row>
    <row r="209" spans="1:8" x14ac:dyDescent="0.25">
      <c r="A209" t="s">
        <v>38</v>
      </c>
      <c r="B209" t="s">
        <v>11</v>
      </c>
      <c r="C209">
        <v>1274977.8024500611</v>
      </c>
      <c r="D209">
        <v>15270</v>
      </c>
      <c r="E209">
        <v>0</v>
      </c>
      <c r="F209">
        <v>10904187.820999995</v>
      </c>
      <c r="G209">
        <f t="shared" si="3"/>
        <v>12179165.623450056</v>
      </c>
    </row>
    <row r="210" spans="1:8" x14ac:dyDescent="0.25">
      <c r="A210" t="s">
        <v>38</v>
      </c>
      <c r="B210" t="s">
        <v>12</v>
      </c>
      <c r="C210">
        <v>1894480.3002698955</v>
      </c>
      <c r="D210">
        <v>22101</v>
      </c>
      <c r="E210">
        <v>0</v>
      </c>
      <c r="F210">
        <v>15782151.6</v>
      </c>
      <c r="G210">
        <f t="shared" si="3"/>
        <v>17676631.900269896</v>
      </c>
    </row>
    <row r="211" spans="1:8" x14ac:dyDescent="0.25">
      <c r="A211" t="s">
        <v>38</v>
      </c>
      <c r="B211" t="s">
        <v>13</v>
      </c>
      <c r="C211">
        <v>3173046.630893256</v>
      </c>
      <c r="D211">
        <v>36801</v>
      </c>
      <c r="E211">
        <v>0</v>
      </c>
      <c r="F211">
        <v>26279306.866000004</v>
      </c>
      <c r="G211">
        <f t="shared" si="3"/>
        <v>29452353.496893261</v>
      </c>
    </row>
    <row r="212" spans="1:8" x14ac:dyDescent="0.25">
      <c r="A212" t="s">
        <v>38</v>
      </c>
      <c r="B212" t="s">
        <v>14</v>
      </c>
      <c r="C212">
        <v>378545.95974438894</v>
      </c>
      <c r="D212">
        <v>4487</v>
      </c>
      <c r="E212">
        <v>0</v>
      </c>
      <c r="F212">
        <v>3204131.6789999981</v>
      </c>
      <c r="G212">
        <f t="shared" si="3"/>
        <v>3582677.6387443868</v>
      </c>
    </row>
    <row r="213" spans="1:8" x14ac:dyDescent="0.25">
      <c r="A213" t="s">
        <v>38</v>
      </c>
      <c r="B213" t="s">
        <v>15</v>
      </c>
      <c r="C213">
        <v>259686.9046385207</v>
      </c>
      <c r="D213">
        <v>3044</v>
      </c>
      <c r="E213">
        <v>0</v>
      </c>
      <c r="F213">
        <v>2173696.6429999997</v>
      </c>
      <c r="G213">
        <f t="shared" si="3"/>
        <v>2433383.5476385206</v>
      </c>
    </row>
    <row r="214" spans="1:8" x14ac:dyDescent="0.25">
      <c r="A214" t="s">
        <v>38</v>
      </c>
      <c r="B214" t="s">
        <v>16</v>
      </c>
      <c r="C214">
        <v>263800.58327620541</v>
      </c>
      <c r="D214">
        <v>3111</v>
      </c>
      <c r="E214">
        <v>0</v>
      </c>
      <c r="F214">
        <v>2221540.8199999998</v>
      </c>
      <c r="G214">
        <f t="shared" si="3"/>
        <v>2485341.4032762051</v>
      </c>
    </row>
    <row r="215" spans="1:8" x14ac:dyDescent="0.25">
      <c r="A215" t="s">
        <v>38</v>
      </c>
      <c r="B215" t="s">
        <v>17</v>
      </c>
      <c r="C215">
        <v>179864.03405195824</v>
      </c>
      <c r="D215">
        <v>2089</v>
      </c>
      <c r="E215">
        <v>0</v>
      </c>
      <c r="F215">
        <v>1491738.5970000001</v>
      </c>
      <c r="G215">
        <f t="shared" si="3"/>
        <v>1671602.6310519583</v>
      </c>
    </row>
    <row r="216" spans="1:8" x14ac:dyDescent="0.25">
      <c r="A216" t="s">
        <v>38</v>
      </c>
      <c r="B216" t="s">
        <v>18</v>
      </c>
      <c r="C216">
        <v>1800478.3671449306</v>
      </c>
      <c r="D216">
        <v>21835</v>
      </c>
      <c r="E216">
        <v>0</v>
      </c>
      <c r="F216">
        <v>15592203.077</v>
      </c>
      <c r="G216">
        <f t="shared" si="3"/>
        <v>17392681.444144931</v>
      </c>
    </row>
    <row r="217" spans="1:8" x14ac:dyDescent="0.25">
      <c r="A217" t="s">
        <v>38</v>
      </c>
      <c r="B217" t="s">
        <v>19</v>
      </c>
      <c r="C217">
        <v>632368.68419727404</v>
      </c>
      <c r="D217">
        <v>7463</v>
      </c>
      <c r="E217">
        <v>0</v>
      </c>
      <c r="F217">
        <v>5329270.05</v>
      </c>
      <c r="G217">
        <f t="shared" si="3"/>
        <v>5961638.7341972739</v>
      </c>
    </row>
    <row r="218" spans="1:8" x14ac:dyDescent="0.25">
      <c r="A218" t="s">
        <v>38</v>
      </c>
      <c r="B218" t="s">
        <v>20</v>
      </c>
      <c r="C218">
        <v>686546.70710635534</v>
      </c>
      <c r="D218">
        <v>8069</v>
      </c>
      <c r="E218">
        <v>0</v>
      </c>
      <c r="F218">
        <v>5762009.9220000012</v>
      </c>
      <c r="G218">
        <f t="shared" si="3"/>
        <v>6448556.6291063568</v>
      </c>
    </row>
    <row r="219" spans="1:8" x14ac:dyDescent="0.25">
      <c r="A219" t="s">
        <v>38</v>
      </c>
      <c r="B219" t="s">
        <v>21</v>
      </c>
      <c r="C219">
        <v>345636.53064291144</v>
      </c>
      <c r="D219">
        <v>4022</v>
      </c>
      <c r="E219">
        <v>0</v>
      </c>
      <c r="F219">
        <v>2872078.8079999993</v>
      </c>
      <c r="G219">
        <f t="shared" si="3"/>
        <v>3217715.3386429106</v>
      </c>
    </row>
    <row r="220" spans="1:8" x14ac:dyDescent="0.25">
      <c r="A220" t="s">
        <v>38</v>
      </c>
      <c r="B220" t="s">
        <v>22</v>
      </c>
      <c r="C220">
        <v>1373618.564677096</v>
      </c>
      <c r="D220">
        <v>16478</v>
      </c>
      <c r="E220">
        <v>0</v>
      </c>
      <c r="F220">
        <v>11766811.188000003</v>
      </c>
      <c r="G220">
        <f t="shared" si="3"/>
        <v>13140429.752677098</v>
      </c>
    </row>
    <row r="221" spans="1:8" x14ac:dyDescent="0.25">
      <c r="A221" t="s">
        <v>38</v>
      </c>
      <c r="B221" t="s">
        <v>23</v>
      </c>
      <c r="C221">
        <v>225377.07429868245</v>
      </c>
      <c r="D221">
        <v>2597</v>
      </c>
      <c r="E221">
        <v>0</v>
      </c>
      <c r="F221">
        <v>1854497.4290000005</v>
      </c>
      <c r="G221">
        <f t="shared" si="3"/>
        <v>2079874.5032986829</v>
      </c>
    </row>
    <row r="222" spans="1:8" x14ac:dyDescent="0.25">
      <c r="A222" t="s">
        <v>38</v>
      </c>
      <c r="B222" t="s">
        <v>42</v>
      </c>
      <c r="C222">
        <v>34047.255107645615</v>
      </c>
      <c r="D222">
        <v>398</v>
      </c>
      <c r="E222">
        <v>0</v>
      </c>
      <c r="F222">
        <v>284208.69299999997</v>
      </c>
      <c r="G222">
        <f t="shared" si="3"/>
        <v>318255.94810764561</v>
      </c>
    </row>
    <row r="223" spans="1:8" s="1" customFormat="1" x14ac:dyDescent="0.25">
      <c r="A223" s="1" t="s">
        <v>39</v>
      </c>
      <c r="B223" s="1" t="s">
        <v>0</v>
      </c>
      <c r="C223" s="1">
        <v>12583.291733439111</v>
      </c>
      <c r="D223" s="1">
        <v>298</v>
      </c>
      <c r="E223" s="1">
        <v>0</v>
      </c>
      <c r="F223" s="1">
        <v>0</v>
      </c>
      <c r="G223" s="1">
        <v>12583.291733439111</v>
      </c>
      <c r="H223"/>
    </row>
    <row r="224" spans="1:8" x14ac:dyDescent="0.25">
      <c r="A224" t="s">
        <v>39</v>
      </c>
      <c r="B224" t="s">
        <v>1</v>
      </c>
      <c r="C224">
        <v>1562.3550138833796</v>
      </c>
      <c r="D224">
        <v>37</v>
      </c>
      <c r="E224">
        <v>0</v>
      </c>
      <c r="F224">
        <v>0</v>
      </c>
      <c r="G224">
        <v>1562.3550138833796</v>
      </c>
    </row>
    <row r="225" spans="1:7" x14ac:dyDescent="0.25">
      <c r="A225" t="s">
        <v>39</v>
      </c>
      <c r="B225" t="s">
        <v>2</v>
      </c>
      <c r="C225">
        <v>3124.7100277667591</v>
      </c>
      <c r="D225">
        <v>74</v>
      </c>
      <c r="E225">
        <v>0</v>
      </c>
      <c r="F225">
        <v>0</v>
      </c>
      <c r="G225">
        <v>3124.7100277667591</v>
      </c>
    </row>
    <row r="226" spans="1:7" x14ac:dyDescent="0.25">
      <c r="A226" t="s">
        <v>39</v>
      </c>
      <c r="B226" t="s">
        <v>3</v>
      </c>
      <c r="C226">
        <v>2195.7421816739388</v>
      </c>
      <c r="D226">
        <v>52</v>
      </c>
      <c r="E226">
        <v>0</v>
      </c>
      <c r="F226">
        <v>0</v>
      </c>
      <c r="G226">
        <v>2195.7421816739388</v>
      </c>
    </row>
    <row r="227" spans="1:7" x14ac:dyDescent="0.25">
      <c r="A227" t="s">
        <v>39</v>
      </c>
      <c r="B227" t="s">
        <v>4</v>
      </c>
      <c r="C227">
        <v>2913.5809718365731</v>
      </c>
      <c r="D227">
        <v>69</v>
      </c>
      <c r="E227">
        <v>0</v>
      </c>
      <c r="F227">
        <v>0</v>
      </c>
      <c r="G227">
        <v>2913.5809718365731</v>
      </c>
    </row>
    <row r="228" spans="1:7" x14ac:dyDescent="0.25">
      <c r="A228" t="s">
        <v>39</v>
      </c>
      <c r="B228" t="s">
        <v>5</v>
      </c>
      <c r="C228">
        <v>2660.2261047203492</v>
      </c>
      <c r="D228">
        <v>63</v>
      </c>
      <c r="E228">
        <v>0</v>
      </c>
      <c r="F228">
        <v>0</v>
      </c>
      <c r="G228">
        <v>2660.2261047203492</v>
      </c>
    </row>
    <row r="229" spans="1:7" x14ac:dyDescent="0.25">
      <c r="A229" t="s">
        <v>39</v>
      </c>
      <c r="B229" t="s">
        <v>6</v>
      </c>
      <c r="C229">
        <v>13343.356334787784</v>
      </c>
      <c r="D229">
        <v>316</v>
      </c>
      <c r="E229">
        <v>0</v>
      </c>
      <c r="F229">
        <v>0</v>
      </c>
      <c r="G229">
        <v>13343.356334787784</v>
      </c>
    </row>
    <row r="230" spans="1:7" x14ac:dyDescent="0.25">
      <c r="A230" t="s">
        <v>39</v>
      </c>
      <c r="B230" t="s">
        <v>7</v>
      </c>
      <c r="C230">
        <v>5616.0328877429592</v>
      </c>
      <c r="D230">
        <v>133</v>
      </c>
      <c r="E230">
        <v>0</v>
      </c>
      <c r="F230">
        <v>0</v>
      </c>
      <c r="G230">
        <v>5616.0328877429592</v>
      </c>
    </row>
    <row r="231" spans="1:7" x14ac:dyDescent="0.25">
      <c r="A231" t="s">
        <v>39</v>
      </c>
      <c r="B231" t="s">
        <v>8</v>
      </c>
      <c r="C231">
        <v>42.225811186037291</v>
      </c>
      <c r="D231">
        <v>1</v>
      </c>
      <c r="E231">
        <v>0</v>
      </c>
      <c r="F231">
        <v>0</v>
      </c>
      <c r="G231">
        <v>42.225811186037291</v>
      </c>
    </row>
    <row r="232" spans="1:7" x14ac:dyDescent="0.25">
      <c r="A232" t="s">
        <v>39</v>
      </c>
      <c r="B232" t="s">
        <v>9</v>
      </c>
      <c r="C232">
        <v>99821.81764379215</v>
      </c>
      <c r="D232">
        <v>2364</v>
      </c>
      <c r="E232">
        <v>0</v>
      </c>
      <c r="F232">
        <v>0</v>
      </c>
      <c r="G232">
        <v>99821.81764379215</v>
      </c>
    </row>
    <row r="233" spans="1:7" x14ac:dyDescent="0.25">
      <c r="A233" t="s">
        <v>39</v>
      </c>
      <c r="B233" t="s">
        <v>10</v>
      </c>
      <c r="C233">
        <v>2153.5163704879014</v>
      </c>
      <c r="D233">
        <v>51</v>
      </c>
      <c r="E233">
        <v>0</v>
      </c>
      <c r="F233">
        <v>0</v>
      </c>
      <c r="G233">
        <v>2153.5163704879014</v>
      </c>
    </row>
    <row r="234" spans="1:7" x14ac:dyDescent="0.25">
      <c r="A234" t="s">
        <v>39</v>
      </c>
      <c r="B234" t="s">
        <v>11</v>
      </c>
      <c r="C234">
        <v>2829.1293494644983</v>
      </c>
      <c r="D234">
        <v>67</v>
      </c>
      <c r="E234">
        <v>0</v>
      </c>
      <c r="F234">
        <v>0</v>
      </c>
      <c r="G234">
        <v>2829.1293494644983</v>
      </c>
    </row>
    <row r="235" spans="1:7" x14ac:dyDescent="0.25">
      <c r="A235" t="s">
        <v>39</v>
      </c>
      <c r="B235" t="s">
        <v>12</v>
      </c>
      <c r="C235">
        <v>14399.001614438715</v>
      </c>
      <c r="D235">
        <v>341</v>
      </c>
      <c r="E235">
        <v>0</v>
      </c>
      <c r="F235">
        <v>0</v>
      </c>
      <c r="G235">
        <v>14399.001614438715</v>
      </c>
    </row>
    <row r="236" spans="1:7" x14ac:dyDescent="0.25">
      <c r="A236" t="s">
        <v>39</v>
      </c>
      <c r="B236" t="s">
        <v>13</v>
      </c>
      <c r="C236">
        <v>16130.259873066245</v>
      </c>
      <c r="D236">
        <v>382</v>
      </c>
      <c r="E236">
        <v>0</v>
      </c>
      <c r="F236">
        <v>0</v>
      </c>
      <c r="G236">
        <v>16130.259873066245</v>
      </c>
    </row>
    <row r="237" spans="1:7" x14ac:dyDescent="0.25">
      <c r="A237" t="s">
        <v>39</v>
      </c>
      <c r="B237" t="s">
        <v>14</v>
      </c>
      <c r="C237">
        <v>760.0646013486712</v>
      </c>
      <c r="D237">
        <v>18</v>
      </c>
      <c r="E237">
        <v>0</v>
      </c>
      <c r="F237">
        <v>0</v>
      </c>
      <c r="G237">
        <v>760.0646013486712</v>
      </c>
    </row>
    <row r="238" spans="1:7" x14ac:dyDescent="0.25">
      <c r="A238" t="s">
        <v>39</v>
      </c>
      <c r="B238" t="s">
        <v>15</v>
      </c>
      <c r="C238">
        <v>337.80648948829833</v>
      </c>
      <c r="D238">
        <v>8</v>
      </c>
      <c r="E238">
        <v>0</v>
      </c>
      <c r="F238">
        <v>0</v>
      </c>
      <c r="G238">
        <v>337.80648948829833</v>
      </c>
    </row>
    <row r="239" spans="1:7" x14ac:dyDescent="0.25">
      <c r="A239" t="s">
        <v>39</v>
      </c>
      <c r="B239" t="s">
        <v>16</v>
      </c>
      <c r="C239">
        <v>971.19365727885759</v>
      </c>
      <c r="D239">
        <v>23</v>
      </c>
      <c r="E239">
        <v>0</v>
      </c>
      <c r="F239">
        <v>0</v>
      </c>
      <c r="G239">
        <v>971.19365727885759</v>
      </c>
    </row>
    <row r="240" spans="1:7" x14ac:dyDescent="0.25">
      <c r="A240" t="s">
        <v>39</v>
      </c>
      <c r="B240" t="s">
        <v>17</v>
      </c>
      <c r="C240">
        <v>675.61297897659665</v>
      </c>
      <c r="D240">
        <v>16</v>
      </c>
      <c r="E240">
        <v>0</v>
      </c>
      <c r="F240">
        <v>0</v>
      </c>
      <c r="G240">
        <v>675.61297897659665</v>
      </c>
    </row>
    <row r="241" spans="1:8" x14ac:dyDescent="0.25">
      <c r="A241" t="s">
        <v>39</v>
      </c>
      <c r="B241" t="s">
        <v>18</v>
      </c>
      <c r="C241">
        <v>9543.0333280444265</v>
      </c>
      <c r="D241">
        <v>226</v>
      </c>
      <c r="E241">
        <v>0</v>
      </c>
      <c r="F241">
        <v>0</v>
      </c>
      <c r="G241">
        <v>9543.0333280444265</v>
      </c>
    </row>
    <row r="242" spans="1:8" x14ac:dyDescent="0.25">
      <c r="A242" t="s">
        <v>39</v>
      </c>
      <c r="B242" t="s">
        <v>19</v>
      </c>
      <c r="C242">
        <v>2744.677727092424</v>
      </c>
      <c r="D242">
        <v>65</v>
      </c>
      <c r="E242">
        <v>0</v>
      </c>
      <c r="F242">
        <v>0</v>
      </c>
      <c r="G242">
        <v>2744.677727092424</v>
      </c>
    </row>
    <row r="243" spans="1:8" x14ac:dyDescent="0.25">
      <c r="A243" t="s">
        <v>39</v>
      </c>
      <c r="B243" t="s">
        <v>20</v>
      </c>
      <c r="C243">
        <v>6291.6458667195557</v>
      </c>
      <c r="D243">
        <v>149</v>
      </c>
      <c r="E243">
        <v>0</v>
      </c>
      <c r="F243">
        <v>0</v>
      </c>
      <c r="G243">
        <v>6291.6458667195557</v>
      </c>
    </row>
    <row r="244" spans="1:8" x14ac:dyDescent="0.25">
      <c r="A244" t="s">
        <v>39</v>
      </c>
      <c r="B244" t="s">
        <v>21</v>
      </c>
      <c r="C244">
        <v>380.0323006743356</v>
      </c>
      <c r="D244">
        <v>9</v>
      </c>
      <c r="E244">
        <v>0</v>
      </c>
      <c r="F244">
        <v>0</v>
      </c>
      <c r="G244">
        <v>380.0323006743356</v>
      </c>
    </row>
    <row r="245" spans="1:8" x14ac:dyDescent="0.25">
      <c r="A245" t="s">
        <v>39</v>
      </c>
      <c r="B245" t="s">
        <v>22</v>
      </c>
      <c r="C245">
        <v>11443.194831416105</v>
      </c>
      <c r="D245">
        <v>271</v>
      </c>
      <c r="E245">
        <v>0</v>
      </c>
      <c r="F245">
        <v>0</v>
      </c>
      <c r="G245">
        <v>11443.194831416105</v>
      </c>
    </row>
    <row r="246" spans="1:8" x14ac:dyDescent="0.25">
      <c r="A246" t="s">
        <v>39</v>
      </c>
      <c r="B246" t="s">
        <v>23</v>
      </c>
      <c r="C246">
        <v>337.80648948829833</v>
      </c>
      <c r="D246">
        <v>8</v>
      </c>
      <c r="E246">
        <v>0</v>
      </c>
      <c r="F246">
        <v>0</v>
      </c>
      <c r="G246">
        <v>337.80648948829833</v>
      </c>
    </row>
    <row r="247" spans="1:8" x14ac:dyDescent="0.25">
      <c r="A247" t="s">
        <v>39</v>
      </c>
      <c r="B247" t="s">
        <v>42</v>
      </c>
      <c r="C247">
        <v>42.225811186037291</v>
      </c>
      <c r="D247">
        <v>1</v>
      </c>
      <c r="E247">
        <v>0</v>
      </c>
      <c r="F247">
        <v>0</v>
      </c>
      <c r="G247">
        <v>42.225811186037291</v>
      </c>
    </row>
    <row r="248" spans="1:8" s="1" customFormat="1" x14ac:dyDescent="0.25">
      <c r="A248" s="1" t="s">
        <v>40</v>
      </c>
      <c r="B248" s="1" t="s">
        <v>0</v>
      </c>
      <c r="C248" s="1">
        <v>3423.0769230769233</v>
      </c>
      <c r="D248" s="1">
        <v>75</v>
      </c>
      <c r="E248" s="1">
        <v>0</v>
      </c>
      <c r="F248" s="1">
        <v>0</v>
      </c>
      <c r="G248" s="1">
        <v>3423.0769230769233</v>
      </c>
      <c r="H248"/>
    </row>
    <row r="249" spans="1:8" x14ac:dyDescent="0.25">
      <c r="A249" t="s">
        <v>40</v>
      </c>
      <c r="B249" t="s">
        <v>1</v>
      </c>
      <c r="C249">
        <v>319.48717948717945</v>
      </c>
      <c r="D249">
        <v>7</v>
      </c>
      <c r="E249">
        <v>0</v>
      </c>
      <c r="F249">
        <v>0</v>
      </c>
      <c r="G249">
        <v>319.48717948717945</v>
      </c>
    </row>
    <row r="250" spans="1:8" x14ac:dyDescent="0.25">
      <c r="A250" t="s">
        <v>40</v>
      </c>
      <c r="B250" t="s">
        <v>2</v>
      </c>
      <c r="C250">
        <v>775.89743589743591</v>
      </c>
      <c r="D250">
        <v>17</v>
      </c>
      <c r="E250">
        <v>0</v>
      </c>
      <c r="F250">
        <v>0</v>
      </c>
      <c r="G250">
        <v>775.89743589743591</v>
      </c>
    </row>
    <row r="251" spans="1:8" x14ac:dyDescent="0.25">
      <c r="A251" t="s">
        <v>40</v>
      </c>
      <c r="B251" t="s">
        <v>3</v>
      </c>
      <c r="C251">
        <v>593.33333333333337</v>
      </c>
      <c r="D251">
        <v>13</v>
      </c>
      <c r="E251">
        <v>0</v>
      </c>
      <c r="F251">
        <v>0</v>
      </c>
      <c r="G251">
        <v>593.33333333333337</v>
      </c>
    </row>
    <row r="252" spans="1:8" x14ac:dyDescent="0.25">
      <c r="A252" t="s">
        <v>40</v>
      </c>
      <c r="B252" t="s">
        <v>4</v>
      </c>
      <c r="C252">
        <v>1232.3076923076924</v>
      </c>
      <c r="D252">
        <v>27</v>
      </c>
      <c r="E252">
        <v>0</v>
      </c>
      <c r="F252">
        <v>0</v>
      </c>
      <c r="G252">
        <v>1232.3076923076924</v>
      </c>
    </row>
    <row r="253" spans="1:8" x14ac:dyDescent="0.25">
      <c r="A253" t="s">
        <v>40</v>
      </c>
      <c r="B253" t="s">
        <v>5</v>
      </c>
      <c r="C253">
        <v>502.05128205128204</v>
      </c>
      <c r="D253">
        <v>11</v>
      </c>
      <c r="E253">
        <v>0</v>
      </c>
      <c r="F253">
        <v>0</v>
      </c>
      <c r="G253">
        <v>502.05128205128204</v>
      </c>
    </row>
    <row r="254" spans="1:8" x14ac:dyDescent="0.25">
      <c r="A254" t="s">
        <v>40</v>
      </c>
      <c r="B254" t="s">
        <v>6</v>
      </c>
      <c r="C254">
        <v>4792.3076923076924</v>
      </c>
      <c r="D254">
        <v>105</v>
      </c>
      <c r="E254">
        <v>0</v>
      </c>
      <c r="F254">
        <v>0</v>
      </c>
      <c r="G254">
        <v>4792.3076923076924</v>
      </c>
    </row>
    <row r="255" spans="1:8" x14ac:dyDescent="0.25">
      <c r="A255" t="s">
        <v>40</v>
      </c>
      <c r="B255" t="s">
        <v>7</v>
      </c>
      <c r="C255">
        <v>3423.0769230769233</v>
      </c>
      <c r="D255">
        <v>75</v>
      </c>
      <c r="E255">
        <v>0</v>
      </c>
      <c r="F255">
        <v>0</v>
      </c>
      <c r="G255">
        <v>3423.0769230769233</v>
      </c>
    </row>
    <row r="256" spans="1:8" x14ac:dyDescent="0.25">
      <c r="A256" t="s">
        <v>40</v>
      </c>
      <c r="B256" t="s">
        <v>8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t="s">
        <v>40</v>
      </c>
      <c r="B257" t="s">
        <v>9</v>
      </c>
      <c r="C257">
        <v>29255.897435897434</v>
      </c>
      <c r="D257">
        <v>641</v>
      </c>
      <c r="E257">
        <v>0</v>
      </c>
      <c r="F257">
        <v>0</v>
      </c>
      <c r="G257">
        <v>29255.897435897434</v>
      </c>
    </row>
    <row r="258" spans="1:7" x14ac:dyDescent="0.25">
      <c r="A258" t="s">
        <v>40</v>
      </c>
      <c r="B258" t="s">
        <v>10</v>
      </c>
      <c r="C258">
        <v>1551.7948717948718</v>
      </c>
      <c r="D258">
        <v>34</v>
      </c>
      <c r="E258">
        <v>0</v>
      </c>
      <c r="F258">
        <v>0</v>
      </c>
      <c r="G258">
        <v>1551.7948717948718</v>
      </c>
    </row>
    <row r="259" spans="1:7" x14ac:dyDescent="0.25">
      <c r="A259" t="s">
        <v>40</v>
      </c>
      <c r="B259" t="s">
        <v>11</v>
      </c>
      <c r="C259">
        <v>1323.5897435897436</v>
      </c>
      <c r="D259">
        <v>29</v>
      </c>
      <c r="E259">
        <v>0</v>
      </c>
      <c r="F259">
        <v>0</v>
      </c>
      <c r="G259">
        <v>1323.5897435897436</v>
      </c>
    </row>
    <row r="260" spans="1:7" x14ac:dyDescent="0.25">
      <c r="A260" t="s">
        <v>40</v>
      </c>
      <c r="B260" t="s">
        <v>12</v>
      </c>
      <c r="C260">
        <v>4244.6153846153848</v>
      </c>
      <c r="D260">
        <v>93</v>
      </c>
      <c r="E260">
        <v>0</v>
      </c>
      <c r="F260">
        <v>0</v>
      </c>
      <c r="G260">
        <v>4244.6153846153848</v>
      </c>
    </row>
    <row r="261" spans="1:7" x14ac:dyDescent="0.25">
      <c r="A261" t="s">
        <v>40</v>
      </c>
      <c r="B261" t="s">
        <v>13</v>
      </c>
      <c r="C261">
        <v>7165.6410256410263</v>
      </c>
      <c r="D261">
        <v>157</v>
      </c>
      <c r="E261">
        <v>0</v>
      </c>
      <c r="F261">
        <v>0</v>
      </c>
      <c r="G261">
        <v>7165.6410256410263</v>
      </c>
    </row>
    <row r="262" spans="1:7" x14ac:dyDescent="0.25">
      <c r="A262" t="s">
        <v>40</v>
      </c>
      <c r="B262" t="s">
        <v>14</v>
      </c>
      <c r="C262">
        <v>593.33333333333337</v>
      </c>
      <c r="D262">
        <v>13</v>
      </c>
      <c r="E262">
        <v>0</v>
      </c>
      <c r="F262">
        <v>0</v>
      </c>
      <c r="G262">
        <v>593.33333333333337</v>
      </c>
    </row>
    <row r="263" spans="1:7" x14ac:dyDescent="0.25">
      <c r="A263" t="s">
        <v>40</v>
      </c>
      <c r="B263" t="s">
        <v>15</v>
      </c>
      <c r="C263">
        <v>136.92307692307693</v>
      </c>
      <c r="D263">
        <v>3</v>
      </c>
      <c r="E263">
        <v>0</v>
      </c>
      <c r="F263">
        <v>0</v>
      </c>
      <c r="G263">
        <v>136.92307692307693</v>
      </c>
    </row>
    <row r="264" spans="1:7" x14ac:dyDescent="0.25">
      <c r="A264" t="s">
        <v>40</v>
      </c>
      <c r="B264" t="s">
        <v>16</v>
      </c>
      <c r="C264">
        <v>547.69230769230774</v>
      </c>
      <c r="D264">
        <v>12</v>
      </c>
      <c r="E264">
        <v>0</v>
      </c>
      <c r="F264">
        <v>0</v>
      </c>
      <c r="G264">
        <v>547.69230769230774</v>
      </c>
    </row>
    <row r="265" spans="1:7" x14ac:dyDescent="0.25">
      <c r="A265" t="s">
        <v>40</v>
      </c>
      <c r="B265" t="s">
        <v>17</v>
      </c>
      <c r="C265">
        <v>136.92307692307693</v>
      </c>
      <c r="D265">
        <v>3</v>
      </c>
      <c r="E265">
        <v>0</v>
      </c>
      <c r="F265">
        <v>0</v>
      </c>
      <c r="G265">
        <v>136.92307692307693</v>
      </c>
    </row>
    <row r="266" spans="1:7" x14ac:dyDescent="0.25">
      <c r="A266" t="s">
        <v>40</v>
      </c>
      <c r="B266" t="s">
        <v>18</v>
      </c>
      <c r="C266">
        <v>5248.7179487179492</v>
      </c>
      <c r="D266">
        <v>115</v>
      </c>
      <c r="E266">
        <v>0</v>
      </c>
      <c r="F266">
        <v>0</v>
      </c>
      <c r="G266">
        <v>5248.7179487179492</v>
      </c>
    </row>
    <row r="267" spans="1:7" x14ac:dyDescent="0.25">
      <c r="A267" t="s">
        <v>40</v>
      </c>
      <c r="B267" t="s">
        <v>19</v>
      </c>
      <c r="C267">
        <v>1141.0256410256409</v>
      </c>
      <c r="D267">
        <v>25</v>
      </c>
      <c r="E267">
        <v>0</v>
      </c>
      <c r="F267">
        <v>0</v>
      </c>
      <c r="G267">
        <v>1141.0256410256409</v>
      </c>
    </row>
    <row r="268" spans="1:7" x14ac:dyDescent="0.25">
      <c r="A268" t="s">
        <v>40</v>
      </c>
      <c r="B268" t="s">
        <v>20</v>
      </c>
      <c r="C268">
        <v>1780</v>
      </c>
      <c r="D268">
        <v>39</v>
      </c>
      <c r="E268">
        <v>0</v>
      </c>
      <c r="F268">
        <v>0</v>
      </c>
      <c r="G268">
        <v>1780</v>
      </c>
    </row>
    <row r="269" spans="1:7" x14ac:dyDescent="0.25">
      <c r="A269" t="s">
        <v>40</v>
      </c>
      <c r="B269" t="s">
        <v>21</v>
      </c>
      <c r="C269">
        <v>638.97435897435889</v>
      </c>
      <c r="D269">
        <v>14</v>
      </c>
      <c r="E269">
        <v>0</v>
      </c>
      <c r="F269">
        <v>0</v>
      </c>
      <c r="G269">
        <v>638.97435897435889</v>
      </c>
    </row>
    <row r="270" spans="1:7" x14ac:dyDescent="0.25">
      <c r="A270" t="s">
        <v>40</v>
      </c>
      <c r="B270" t="s">
        <v>22</v>
      </c>
      <c r="C270">
        <v>2190.7692307692309</v>
      </c>
      <c r="D270">
        <v>48</v>
      </c>
      <c r="E270">
        <v>0</v>
      </c>
      <c r="F270">
        <v>0</v>
      </c>
      <c r="G270">
        <v>2190.7692307692309</v>
      </c>
    </row>
    <row r="271" spans="1:7" x14ac:dyDescent="0.25">
      <c r="A271" t="s">
        <v>40</v>
      </c>
      <c r="B271" t="s">
        <v>23</v>
      </c>
      <c r="C271">
        <v>182.56410256410257</v>
      </c>
      <c r="D271">
        <v>4</v>
      </c>
      <c r="E271">
        <v>0</v>
      </c>
      <c r="F271">
        <v>0</v>
      </c>
      <c r="G271">
        <v>182.56410256410257</v>
      </c>
    </row>
    <row r="272" spans="1:7" x14ac:dyDescent="0.25">
      <c r="A272" t="s">
        <v>40</v>
      </c>
      <c r="B272" t="s">
        <v>42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8" s="1" customFormat="1" x14ac:dyDescent="0.25">
      <c r="A273" s="1" t="s">
        <v>41</v>
      </c>
      <c r="B273" s="1" t="s">
        <v>0</v>
      </c>
      <c r="C273" s="1">
        <v>343122.64586574148</v>
      </c>
      <c r="D273" s="1">
        <v>3538</v>
      </c>
      <c r="E273" s="1">
        <v>0</v>
      </c>
      <c r="F273" s="1">
        <v>2733920.4530000002</v>
      </c>
      <c r="G273" s="1">
        <f t="shared" ref="G273:G297" si="4">+F273+C273</f>
        <v>3077043.0988657419</v>
      </c>
      <c r="H273"/>
    </row>
    <row r="274" spans="1:8" x14ac:dyDescent="0.25">
      <c r="A274" t="s">
        <v>41</v>
      </c>
      <c r="B274" t="s">
        <v>1</v>
      </c>
      <c r="C274">
        <v>174524.22043198996</v>
      </c>
      <c r="D274">
        <v>1797</v>
      </c>
      <c r="E274">
        <v>0</v>
      </c>
      <c r="F274">
        <v>1388596.6809999999</v>
      </c>
      <c r="G274">
        <f t="shared" si="4"/>
        <v>1563120.9014319899</v>
      </c>
    </row>
    <row r="275" spans="1:8" x14ac:dyDescent="0.25">
      <c r="A275" t="s">
        <v>41</v>
      </c>
      <c r="B275" t="s">
        <v>2</v>
      </c>
      <c r="C275">
        <v>148240.45229464208</v>
      </c>
      <c r="D275">
        <v>1512</v>
      </c>
      <c r="E275">
        <v>0</v>
      </c>
      <c r="F275">
        <v>1168368.493</v>
      </c>
      <c r="G275">
        <f t="shared" si="4"/>
        <v>1316608.9452946421</v>
      </c>
    </row>
    <row r="276" spans="1:8" x14ac:dyDescent="0.25">
      <c r="A276" t="s">
        <v>41</v>
      </c>
      <c r="B276" t="s">
        <v>3</v>
      </c>
      <c r="C276">
        <v>83247.861991381855</v>
      </c>
      <c r="D276">
        <v>863</v>
      </c>
      <c r="E276">
        <v>0</v>
      </c>
      <c r="F276">
        <v>666866.40500000014</v>
      </c>
      <c r="G276">
        <f t="shared" si="4"/>
        <v>750114.266991382</v>
      </c>
    </row>
    <row r="277" spans="1:8" x14ac:dyDescent="0.25">
      <c r="A277" t="s">
        <v>41</v>
      </c>
      <c r="B277" t="s">
        <v>4</v>
      </c>
      <c r="C277">
        <v>255382.64895634018</v>
      </c>
      <c r="D277">
        <v>2612</v>
      </c>
      <c r="E277">
        <v>0</v>
      </c>
      <c r="F277">
        <v>2018372.0250000001</v>
      </c>
      <c r="G277">
        <f t="shared" si="4"/>
        <v>2273754.6739563402</v>
      </c>
    </row>
    <row r="278" spans="1:8" x14ac:dyDescent="0.25">
      <c r="A278" t="s">
        <v>41</v>
      </c>
      <c r="B278" t="s">
        <v>5</v>
      </c>
      <c r="C278">
        <v>250794.93669963948</v>
      </c>
      <c r="D278">
        <v>2596</v>
      </c>
      <c r="E278">
        <v>0</v>
      </c>
      <c r="F278">
        <v>2006008.3389999999</v>
      </c>
      <c r="G278">
        <f t="shared" si="4"/>
        <v>2256803.2756996392</v>
      </c>
    </row>
    <row r="279" spans="1:8" x14ac:dyDescent="0.25">
      <c r="A279" t="s">
        <v>41</v>
      </c>
      <c r="B279" t="s">
        <v>6</v>
      </c>
      <c r="C279">
        <v>250221.47266755186</v>
      </c>
      <c r="D279">
        <v>2599</v>
      </c>
      <c r="E279">
        <v>0</v>
      </c>
      <c r="F279">
        <v>2008326.5259999989</v>
      </c>
      <c r="G279">
        <f t="shared" si="4"/>
        <v>2258547.9986675507</v>
      </c>
    </row>
    <row r="280" spans="1:8" x14ac:dyDescent="0.25">
      <c r="A280" t="s">
        <v>41</v>
      </c>
      <c r="B280" t="s">
        <v>7</v>
      </c>
      <c r="C280">
        <v>364818.70174638863</v>
      </c>
      <c r="D280">
        <v>3811</v>
      </c>
      <c r="E280">
        <v>0</v>
      </c>
      <c r="F280">
        <v>2944875.8669999996</v>
      </c>
      <c r="G280">
        <f t="shared" si="4"/>
        <v>3309694.5687463884</v>
      </c>
    </row>
    <row r="281" spans="1:8" x14ac:dyDescent="0.25">
      <c r="A281" t="s">
        <v>41</v>
      </c>
      <c r="B281" t="s">
        <v>8</v>
      </c>
      <c r="C281">
        <v>477.88669340632521</v>
      </c>
      <c r="D281">
        <v>5</v>
      </c>
      <c r="E281">
        <v>0</v>
      </c>
      <c r="F281">
        <v>3863.6509999999998</v>
      </c>
      <c r="G281">
        <f t="shared" si="4"/>
        <v>4341.5376934063252</v>
      </c>
    </row>
    <row r="282" spans="1:8" x14ac:dyDescent="0.25">
      <c r="A282" t="s">
        <v>41</v>
      </c>
      <c r="B282" t="s">
        <v>9</v>
      </c>
      <c r="C282">
        <v>1437674.3284435887</v>
      </c>
      <c r="D282">
        <v>14904</v>
      </c>
      <c r="E282">
        <v>0</v>
      </c>
      <c r="F282">
        <v>11516775.126000002</v>
      </c>
      <c r="G282">
        <f t="shared" si="4"/>
        <v>12954449.454443591</v>
      </c>
    </row>
    <row r="283" spans="1:8" x14ac:dyDescent="0.25">
      <c r="A283" t="s">
        <v>41</v>
      </c>
      <c r="B283" t="s">
        <v>10</v>
      </c>
      <c r="C283">
        <v>228238.68477086094</v>
      </c>
      <c r="D283">
        <v>2353</v>
      </c>
      <c r="E283">
        <v>0</v>
      </c>
      <c r="F283">
        <v>1818234.8289999992</v>
      </c>
      <c r="G283">
        <f t="shared" si="4"/>
        <v>2046473.5137708602</v>
      </c>
    </row>
    <row r="284" spans="1:8" x14ac:dyDescent="0.25">
      <c r="A284" t="s">
        <v>41</v>
      </c>
      <c r="B284" t="s">
        <v>11</v>
      </c>
      <c r="C284">
        <v>315022.90829344961</v>
      </c>
      <c r="D284">
        <v>3298</v>
      </c>
      <c r="E284">
        <v>0</v>
      </c>
      <c r="F284">
        <v>2548465.1359999995</v>
      </c>
      <c r="G284">
        <f t="shared" si="4"/>
        <v>2863488.0442934493</v>
      </c>
    </row>
    <row r="285" spans="1:8" x14ac:dyDescent="0.25">
      <c r="A285" t="s">
        <v>41</v>
      </c>
      <c r="B285" t="s">
        <v>12</v>
      </c>
      <c r="C285">
        <v>442809.81011030095</v>
      </c>
      <c r="D285">
        <v>4562</v>
      </c>
      <c r="E285">
        <v>0</v>
      </c>
      <c r="F285">
        <v>3525196.4629999981</v>
      </c>
      <c r="G285">
        <f t="shared" si="4"/>
        <v>3968006.2731102989</v>
      </c>
    </row>
    <row r="286" spans="1:8" x14ac:dyDescent="0.25">
      <c r="A286" t="s">
        <v>41</v>
      </c>
      <c r="B286" t="s">
        <v>13</v>
      </c>
      <c r="C286">
        <v>907697.98545597412</v>
      </c>
      <c r="D286">
        <v>9466</v>
      </c>
      <c r="E286">
        <v>0</v>
      </c>
      <c r="F286">
        <v>7314666.7540000007</v>
      </c>
      <c r="G286">
        <f t="shared" si="4"/>
        <v>8222364.7394559747</v>
      </c>
    </row>
    <row r="287" spans="1:8" x14ac:dyDescent="0.25">
      <c r="A287" t="s">
        <v>41</v>
      </c>
      <c r="B287" t="s">
        <v>14</v>
      </c>
      <c r="C287">
        <v>153306.05124474911</v>
      </c>
      <c r="D287">
        <v>1616</v>
      </c>
      <c r="E287">
        <v>0</v>
      </c>
      <c r="F287">
        <v>1248732.4580000006</v>
      </c>
      <c r="G287">
        <f t="shared" si="4"/>
        <v>1402038.5092447498</v>
      </c>
    </row>
    <row r="288" spans="1:8" x14ac:dyDescent="0.25">
      <c r="A288" t="s">
        <v>41</v>
      </c>
      <c r="B288" t="s">
        <v>15</v>
      </c>
      <c r="C288">
        <v>99400.432228515652</v>
      </c>
      <c r="D288">
        <v>1081</v>
      </c>
      <c r="E288">
        <v>0</v>
      </c>
      <c r="F288">
        <v>835321.65000000026</v>
      </c>
      <c r="G288">
        <f t="shared" si="4"/>
        <v>934722.08222851588</v>
      </c>
    </row>
    <row r="289" spans="1:7" x14ac:dyDescent="0.25">
      <c r="A289" t="s">
        <v>41</v>
      </c>
      <c r="B289" t="s">
        <v>16</v>
      </c>
      <c r="C289">
        <v>118993.78665817497</v>
      </c>
      <c r="D289">
        <v>1252</v>
      </c>
      <c r="E289">
        <v>0</v>
      </c>
      <c r="F289">
        <v>967458.56600000022</v>
      </c>
      <c r="G289">
        <f t="shared" si="4"/>
        <v>1086452.3526581752</v>
      </c>
    </row>
    <row r="290" spans="1:7" x14ac:dyDescent="0.25">
      <c r="A290" t="s">
        <v>41</v>
      </c>
      <c r="B290" t="s">
        <v>17</v>
      </c>
      <c r="C290">
        <v>50655.989501070471</v>
      </c>
      <c r="D290">
        <v>560</v>
      </c>
      <c r="E290">
        <v>0</v>
      </c>
      <c r="F290">
        <v>432729.06999999995</v>
      </c>
      <c r="G290">
        <f t="shared" si="4"/>
        <v>483385.05950107041</v>
      </c>
    </row>
    <row r="291" spans="1:7" x14ac:dyDescent="0.25">
      <c r="A291" t="s">
        <v>41</v>
      </c>
      <c r="B291" t="s">
        <v>18</v>
      </c>
      <c r="C291">
        <v>550238.73878804292</v>
      </c>
      <c r="D291">
        <v>5823</v>
      </c>
      <c r="E291">
        <v>0</v>
      </c>
      <c r="F291">
        <v>4499609.6069999998</v>
      </c>
      <c r="G291">
        <f t="shared" si="4"/>
        <v>5049848.345788043</v>
      </c>
    </row>
    <row r="292" spans="1:7" x14ac:dyDescent="0.25">
      <c r="A292" t="s">
        <v>41</v>
      </c>
      <c r="B292" t="s">
        <v>19</v>
      </c>
      <c r="C292">
        <v>255764.95831106527</v>
      </c>
      <c r="D292">
        <v>2649</v>
      </c>
      <c r="E292">
        <v>0</v>
      </c>
      <c r="F292">
        <v>2046963.0499999996</v>
      </c>
      <c r="G292">
        <f t="shared" si="4"/>
        <v>2302728.0083110649</v>
      </c>
    </row>
    <row r="293" spans="1:7" x14ac:dyDescent="0.25">
      <c r="A293" t="s">
        <v>41</v>
      </c>
      <c r="B293" t="s">
        <v>20</v>
      </c>
      <c r="C293">
        <v>219254.41493482201</v>
      </c>
      <c r="D293">
        <v>2294</v>
      </c>
      <c r="E293">
        <v>0</v>
      </c>
      <c r="F293">
        <v>1772643.73</v>
      </c>
      <c r="G293">
        <f t="shared" si="4"/>
        <v>1991898.1449348219</v>
      </c>
    </row>
    <row r="294" spans="1:7" x14ac:dyDescent="0.25">
      <c r="A294" t="s">
        <v>41</v>
      </c>
      <c r="B294" t="s">
        <v>21</v>
      </c>
      <c r="C294">
        <v>127500.16980080758</v>
      </c>
      <c r="D294">
        <v>1366</v>
      </c>
      <c r="E294">
        <v>0</v>
      </c>
      <c r="F294">
        <v>1055549.8390000006</v>
      </c>
      <c r="G294">
        <f t="shared" si="4"/>
        <v>1183050.0088008081</v>
      </c>
    </row>
    <row r="295" spans="1:7" x14ac:dyDescent="0.25">
      <c r="A295" t="s">
        <v>41</v>
      </c>
      <c r="B295" t="s">
        <v>22</v>
      </c>
      <c r="C295">
        <v>188191.77986341086</v>
      </c>
      <c r="D295">
        <v>1919</v>
      </c>
      <c r="E295">
        <v>0</v>
      </c>
      <c r="F295">
        <v>1482869.7999999998</v>
      </c>
      <c r="G295">
        <f t="shared" si="4"/>
        <v>1671061.5798634107</v>
      </c>
    </row>
    <row r="296" spans="1:7" x14ac:dyDescent="0.25">
      <c r="A296" t="s">
        <v>41</v>
      </c>
      <c r="B296" t="s">
        <v>23</v>
      </c>
      <c r="C296">
        <v>79615.923121493775</v>
      </c>
      <c r="D296">
        <v>848</v>
      </c>
      <c r="E296">
        <v>0</v>
      </c>
      <c r="F296">
        <v>655275.44900000002</v>
      </c>
      <c r="G296">
        <f t="shared" si="4"/>
        <v>734891.3721214938</v>
      </c>
    </row>
    <row r="297" spans="1:7" x14ac:dyDescent="0.25">
      <c r="A297" t="s">
        <v>41</v>
      </c>
      <c r="B297" t="s">
        <v>42</v>
      </c>
      <c r="C297">
        <v>8219.6511265887948</v>
      </c>
      <c r="D297">
        <v>83</v>
      </c>
      <c r="E297">
        <v>0</v>
      </c>
      <c r="F297">
        <v>64136.629000000001</v>
      </c>
      <c r="G297">
        <f t="shared" si="4"/>
        <v>72356.280126588797</v>
      </c>
    </row>
  </sheetData>
  <autoFilter ref="A1:G9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47"/>
  <sheetViews>
    <sheetView topLeftCell="A645" workbookViewId="0">
      <selection activeCell="E658" sqref="E658:E660"/>
    </sheetView>
  </sheetViews>
  <sheetFormatPr baseColWidth="10" defaultRowHeight="15" x14ac:dyDescent="0.25"/>
  <cols>
    <col min="1" max="1" width="33.42578125" bestFit="1" customWidth="1"/>
    <col min="5" max="5" width="11.42578125" style="7"/>
    <col min="6" max="6" width="15.5703125" bestFit="1" customWidth="1"/>
    <col min="8" max="8" width="11.42578125" style="16"/>
    <col min="9" max="9" width="15.5703125" bestFit="1" customWidth="1"/>
    <col min="10" max="10" width="11.85546875" bestFit="1" customWidth="1"/>
  </cols>
  <sheetData>
    <row r="1" spans="1:10" x14ac:dyDescent="0.25">
      <c r="A1" s="2" t="s">
        <v>25</v>
      </c>
      <c r="B1" s="2" t="s">
        <v>26</v>
      </c>
      <c r="C1" s="2" t="s">
        <v>44</v>
      </c>
      <c r="D1" s="2" t="s">
        <v>31</v>
      </c>
      <c r="E1" s="19" t="s">
        <v>249</v>
      </c>
      <c r="F1" s="6" t="s">
        <v>251</v>
      </c>
      <c r="G1" s="6" t="s">
        <v>250</v>
      </c>
      <c r="H1" s="15" t="s">
        <v>252</v>
      </c>
      <c r="I1" s="6" t="s">
        <v>253</v>
      </c>
    </row>
    <row r="2" spans="1:10" x14ac:dyDescent="0.25">
      <c r="A2" s="3" t="s">
        <v>27</v>
      </c>
      <c r="B2" s="3" t="s">
        <v>0</v>
      </c>
      <c r="C2" t="s">
        <v>45</v>
      </c>
      <c r="D2" s="4">
        <v>421</v>
      </c>
      <c r="E2" s="7">
        <f>+D2/SUM($D$2:$D$16)</f>
        <v>4.7431275349256424E-2</v>
      </c>
      <c r="F2">
        <v>559328.34009999875</v>
      </c>
      <c r="G2">
        <f t="shared" ref="G2:G16" si="0">+E2*F2</f>
        <v>26529.656509925586</v>
      </c>
      <c r="H2" s="16">
        <f>+SUM(E2:E16)</f>
        <v>1</v>
      </c>
      <c r="I2">
        <f>+SUM(G2:G16)</f>
        <v>559328.34009999875</v>
      </c>
      <c r="J2" t="b">
        <f>+I2=F2</f>
        <v>1</v>
      </c>
    </row>
    <row r="3" spans="1:10" x14ac:dyDescent="0.25">
      <c r="A3" s="3" t="s">
        <v>27</v>
      </c>
      <c r="B3" s="3" t="s">
        <v>0</v>
      </c>
      <c r="C3" t="s">
        <v>46</v>
      </c>
      <c r="D3" s="4">
        <v>370</v>
      </c>
      <c r="E3" s="7">
        <f t="shared" ref="E3:E16" si="1">+D3/SUM($D$2:$D$16)</f>
        <v>4.1685443893645785E-2</v>
      </c>
      <c r="F3">
        <v>559328.34009999875</v>
      </c>
      <c r="G3">
        <f t="shared" si="0"/>
        <v>23315.850139364527</v>
      </c>
    </row>
    <row r="4" spans="1:10" x14ac:dyDescent="0.25">
      <c r="A4" s="3" t="s">
        <v>27</v>
      </c>
      <c r="B4" s="3" t="s">
        <v>0</v>
      </c>
      <c r="C4" t="s">
        <v>47</v>
      </c>
      <c r="D4" s="4">
        <v>4156</v>
      </c>
      <c r="E4" s="7">
        <f t="shared" si="1"/>
        <v>0.46822893195132942</v>
      </c>
      <c r="F4">
        <v>559328.34009999875</v>
      </c>
      <c r="G4">
        <f t="shared" si="0"/>
        <v>261893.71129513235</v>
      </c>
    </row>
    <row r="5" spans="1:10" x14ac:dyDescent="0.25">
      <c r="A5" s="3" t="s">
        <v>27</v>
      </c>
      <c r="B5" s="3" t="s">
        <v>0</v>
      </c>
      <c r="C5" t="s">
        <v>48</v>
      </c>
      <c r="D5" s="4">
        <v>29</v>
      </c>
      <c r="E5" s="7">
        <f t="shared" si="1"/>
        <v>3.2672374943668319E-3</v>
      </c>
      <c r="F5">
        <v>559328.34009999875</v>
      </c>
      <c r="G5">
        <f t="shared" si="0"/>
        <v>1827.458524436679</v>
      </c>
    </row>
    <row r="6" spans="1:10" x14ac:dyDescent="0.25">
      <c r="A6" s="3" t="s">
        <v>27</v>
      </c>
      <c r="B6" s="3" t="s">
        <v>0</v>
      </c>
      <c r="C6" t="s">
        <v>49</v>
      </c>
      <c r="D6" s="4">
        <v>247</v>
      </c>
      <c r="E6" s="7">
        <f t="shared" si="1"/>
        <v>2.7827850383055429E-2</v>
      </c>
      <c r="F6">
        <v>559328.34009999875</v>
      </c>
      <c r="G6">
        <f t="shared" si="0"/>
        <v>15564.905363305508</v>
      </c>
    </row>
    <row r="7" spans="1:10" x14ac:dyDescent="0.25">
      <c r="A7" s="3" t="s">
        <v>27</v>
      </c>
      <c r="B7" s="3" t="s">
        <v>0</v>
      </c>
      <c r="C7" t="s">
        <v>50</v>
      </c>
      <c r="D7" s="4">
        <v>25</v>
      </c>
      <c r="E7" s="7">
        <f t="shared" si="1"/>
        <v>2.8165840468679587E-3</v>
      </c>
      <c r="F7">
        <v>559328.34009999875</v>
      </c>
      <c r="G7">
        <f t="shared" si="0"/>
        <v>1575.3952796867925</v>
      </c>
    </row>
    <row r="8" spans="1:10" x14ac:dyDescent="0.25">
      <c r="A8" s="3" t="s">
        <v>27</v>
      </c>
      <c r="B8" s="3" t="s">
        <v>0</v>
      </c>
      <c r="C8" t="s">
        <v>51</v>
      </c>
      <c r="D8" s="4">
        <v>916</v>
      </c>
      <c r="E8" s="7">
        <f t="shared" si="1"/>
        <v>0.10319963947724201</v>
      </c>
      <c r="F8">
        <v>559328.34009999875</v>
      </c>
      <c r="G8">
        <f t="shared" si="0"/>
        <v>57722.483047724076</v>
      </c>
    </row>
    <row r="9" spans="1:10" x14ac:dyDescent="0.25">
      <c r="A9" s="3" t="s">
        <v>27</v>
      </c>
      <c r="B9" s="3" t="s">
        <v>0</v>
      </c>
      <c r="C9" t="s">
        <v>52</v>
      </c>
      <c r="D9" s="4">
        <v>453</v>
      </c>
      <c r="E9" s="7">
        <f t="shared" si="1"/>
        <v>5.1036502929247406E-2</v>
      </c>
      <c r="F9">
        <v>559328.34009999875</v>
      </c>
      <c r="G9">
        <f t="shared" si="0"/>
        <v>28546.162467924674</v>
      </c>
    </row>
    <row r="10" spans="1:10" x14ac:dyDescent="0.25">
      <c r="A10" s="3" t="s">
        <v>27</v>
      </c>
      <c r="B10" s="3" t="s">
        <v>0</v>
      </c>
      <c r="C10" t="s">
        <v>254</v>
      </c>
      <c r="D10" s="4">
        <v>138</v>
      </c>
      <c r="E10" s="7">
        <f t="shared" si="1"/>
        <v>1.5547543938711132E-2</v>
      </c>
      <c r="F10">
        <v>559328.34009999875</v>
      </c>
      <c r="G10">
        <f t="shared" si="0"/>
        <v>8696.1819438710936</v>
      </c>
    </row>
    <row r="11" spans="1:10" x14ac:dyDescent="0.25">
      <c r="A11" s="3" t="s">
        <v>27</v>
      </c>
      <c r="B11" s="3" t="s">
        <v>0</v>
      </c>
      <c r="C11" t="s">
        <v>53</v>
      </c>
      <c r="D11" s="4">
        <v>406</v>
      </c>
      <c r="E11" s="7">
        <f t="shared" si="1"/>
        <v>4.5741324921135647E-2</v>
      </c>
      <c r="F11">
        <v>559328.34009999875</v>
      </c>
      <c r="G11">
        <f t="shared" si="0"/>
        <v>25584.419342113506</v>
      </c>
    </row>
    <row r="12" spans="1:10" x14ac:dyDescent="0.25">
      <c r="A12" s="3" t="s">
        <v>27</v>
      </c>
      <c r="B12" s="3" t="s">
        <v>0</v>
      </c>
      <c r="C12" t="s">
        <v>54</v>
      </c>
      <c r="D12" s="4">
        <v>325</v>
      </c>
      <c r="E12" s="7">
        <f t="shared" si="1"/>
        <v>3.6615592609283459E-2</v>
      </c>
      <c r="F12">
        <v>559328.34009999875</v>
      </c>
      <c r="G12">
        <f t="shared" si="0"/>
        <v>20480.138635928299</v>
      </c>
    </row>
    <row r="13" spans="1:10" x14ac:dyDescent="0.25">
      <c r="A13" s="3" t="s">
        <v>27</v>
      </c>
      <c r="B13" s="3" t="s">
        <v>0</v>
      </c>
      <c r="C13" t="s">
        <v>55</v>
      </c>
      <c r="D13" s="4">
        <v>78</v>
      </c>
      <c r="E13" s="7">
        <f t="shared" si="1"/>
        <v>8.7877422262280305E-3</v>
      </c>
      <c r="F13">
        <v>559328.34009999875</v>
      </c>
      <c r="G13">
        <f t="shared" si="0"/>
        <v>4915.2332726227924</v>
      </c>
    </row>
    <row r="14" spans="1:10" x14ac:dyDescent="0.25">
      <c r="A14" s="3" t="s">
        <v>27</v>
      </c>
      <c r="B14" s="3" t="s">
        <v>0</v>
      </c>
      <c r="C14" t="s">
        <v>56</v>
      </c>
      <c r="D14" s="4">
        <v>404</v>
      </c>
      <c r="E14" s="7">
        <f t="shared" si="1"/>
        <v>4.5515998197386207E-2</v>
      </c>
      <c r="F14">
        <v>559328.34009999875</v>
      </c>
      <c r="G14">
        <f t="shared" si="0"/>
        <v>25458.387719738563</v>
      </c>
    </row>
    <row r="15" spans="1:10" x14ac:dyDescent="0.25">
      <c r="A15" s="3" t="s">
        <v>27</v>
      </c>
      <c r="B15" s="3" t="s">
        <v>0</v>
      </c>
      <c r="C15" t="s">
        <v>57</v>
      </c>
      <c r="D15" s="4">
        <v>93</v>
      </c>
      <c r="E15" s="7">
        <f t="shared" si="1"/>
        <v>1.0477692654348806E-2</v>
      </c>
      <c r="F15">
        <v>559328.34009999875</v>
      </c>
      <c r="G15">
        <f t="shared" si="0"/>
        <v>5860.4704404348677</v>
      </c>
    </row>
    <row r="16" spans="1:10" x14ac:dyDescent="0.25">
      <c r="A16" s="3" t="s">
        <v>27</v>
      </c>
      <c r="B16" s="3" t="s">
        <v>0</v>
      </c>
      <c r="C16" t="s">
        <v>58</v>
      </c>
      <c r="D16" s="4">
        <v>815</v>
      </c>
      <c r="E16" s="7">
        <f t="shared" si="1"/>
        <v>9.182063992789545E-2</v>
      </c>
      <c r="F16">
        <v>559328.34009999875</v>
      </c>
      <c r="G16">
        <f t="shared" si="0"/>
        <v>51357.886117789429</v>
      </c>
    </row>
    <row r="17" spans="1:10" s="12" customFormat="1" x14ac:dyDescent="0.25">
      <c r="A17" s="11" t="s">
        <v>27</v>
      </c>
      <c r="B17" s="11" t="s">
        <v>1</v>
      </c>
      <c r="C17" s="12" t="s">
        <v>59</v>
      </c>
      <c r="D17" s="13">
        <v>297</v>
      </c>
      <c r="E17" s="14">
        <f>+D17/SUM($D$17:$D$23)</f>
        <v>5.8499113649793183E-2</v>
      </c>
      <c r="F17" s="12">
        <v>373306.17020000005</v>
      </c>
      <c r="G17" s="12">
        <f t="shared" ref="G17:G80" si="2">+E17*F17</f>
        <v>21838.08007669884</v>
      </c>
      <c r="H17" s="17">
        <f>+SUM(E17:E23)</f>
        <v>1</v>
      </c>
      <c r="I17" s="12">
        <f>+SUM(G17:G23)</f>
        <v>373306.17020000005</v>
      </c>
      <c r="J17" s="12" t="b">
        <f>+I17=F17</f>
        <v>1</v>
      </c>
    </row>
    <row r="18" spans="1:10" x14ac:dyDescent="0.25">
      <c r="A18" s="3" t="s">
        <v>27</v>
      </c>
      <c r="B18" s="3" t="s">
        <v>1</v>
      </c>
      <c r="C18" t="s">
        <v>60</v>
      </c>
      <c r="D18" s="4">
        <v>617</v>
      </c>
      <c r="E18" s="7">
        <f t="shared" ref="E18:E23" si="3">+D18/SUM($D$17:$D$23)</f>
        <v>0.12152846168997439</v>
      </c>
      <c r="F18">
        <v>373306.17020000005</v>
      </c>
      <c r="G18">
        <f t="shared" si="2"/>
        <v>45367.324603781766</v>
      </c>
    </row>
    <row r="19" spans="1:10" x14ac:dyDescent="0.25">
      <c r="A19" s="3" t="s">
        <v>27</v>
      </c>
      <c r="B19" s="3" t="s">
        <v>1</v>
      </c>
      <c r="C19" t="s">
        <v>61</v>
      </c>
      <c r="D19" s="4">
        <v>238</v>
      </c>
      <c r="E19" s="7">
        <f t="shared" si="3"/>
        <v>4.6878077604884771E-2</v>
      </c>
      <c r="F19">
        <v>373306.17020000005</v>
      </c>
      <c r="G19">
        <f t="shared" si="2"/>
        <v>17499.875617017926</v>
      </c>
    </row>
    <row r="20" spans="1:10" x14ac:dyDescent="0.25">
      <c r="A20" s="3" t="s">
        <v>27</v>
      </c>
      <c r="B20" s="3" t="s">
        <v>1</v>
      </c>
      <c r="C20" t="s">
        <v>62</v>
      </c>
      <c r="D20" s="4">
        <v>201</v>
      </c>
      <c r="E20" s="7">
        <f t="shared" si="3"/>
        <v>3.9590309237738819E-2</v>
      </c>
      <c r="F20">
        <v>373306.17020000005</v>
      </c>
      <c r="G20">
        <f t="shared" si="2"/>
        <v>14779.306718573962</v>
      </c>
    </row>
    <row r="21" spans="1:10" x14ac:dyDescent="0.25">
      <c r="A21" s="3" t="s">
        <v>27</v>
      </c>
      <c r="B21" s="3" t="s">
        <v>1</v>
      </c>
      <c r="C21" t="s">
        <v>63</v>
      </c>
      <c r="D21" s="4">
        <v>2853</v>
      </c>
      <c r="E21" s="7">
        <f t="shared" si="3"/>
        <v>0.5619460311207406</v>
      </c>
      <c r="F21">
        <v>373306.17020000005</v>
      </c>
      <c r="G21">
        <f t="shared" si="2"/>
        <v>209777.92073677373</v>
      </c>
    </row>
    <row r="22" spans="1:10" x14ac:dyDescent="0.25">
      <c r="A22" s="3" t="s">
        <v>27</v>
      </c>
      <c r="B22" s="3" t="s">
        <v>1</v>
      </c>
      <c r="C22" t="s">
        <v>64</v>
      </c>
      <c r="D22" s="4">
        <v>251</v>
      </c>
      <c r="E22" s="7">
        <f t="shared" si="3"/>
        <v>4.9438644869017133E-2</v>
      </c>
      <c r="F22">
        <v>373306.17020000005</v>
      </c>
      <c r="G22">
        <f t="shared" si="2"/>
        <v>18455.751175930669</v>
      </c>
    </row>
    <row r="23" spans="1:10" x14ac:dyDescent="0.25">
      <c r="A23" s="3" t="s">
        <v>27</v>
      </c>
      <c r="B23" s="3" t="s">
        <v>1</v>
      </c>
      <c r="C23" t="s">
        <v>65</v>
      </c>
      <c r="D23" s="4">
        <v>620</v>
      </c>
      <c r="E23" s="7">
        <f t="shared" si="3"/>
        <v>0.12211936182785109</v>
      </c>
      <c r="F23">
        <v>373306.17020000005</v>
      </c>
      <c r="G23">
        <f t="shared" si="2"/>
        <v>45587.911271223165</v>
      </c>
    </row>
    <row r="24" spans="1:10" s="12" customFormat="1" x14ac:dyDescent="0.25">
      <c r="A24" s="11" t="s">
        <v>27</v>
      </c>
      <c r="B24" s="11" t="s">
        <v>2</v>
      </c>
      <c r="C24" s="12" t="s">
        <v>66</v>
      </c>
      <c r="D24" s="13">
        <v>1416</v>
      </c>
      <c r="E24" s="14">
        <f>+D24/SUM($D$24:$D$30)</f>
        <v>0.28045157456922165</v>
      </c>
      <c r="F24" s="12">
        <v>438273.41999999993</v>
      </c>
      <c r="G24" s="12">
        <f t="shared" si="2"/>
        <v>122914.47073083778</v>
      </c>
      <c r="H24" s="17">
        <f>+SUM(E24:E30)</f>
        <v>1</v>
      </c>
      <c r="I24" s="12">
        <f>+SUM(G24:G30)</f>
        <v>438273.42</v>
      </c>
      <c r="J24" s="12" t="b">
        <f>+I24=F24</f>
        <v>1</v>
      </c>
    </row>
    <row r="25" spans="1:10" x14ac:dyDescent="0.25">
      <c r="A25" s="3" t="s">
        <v>27</v>
      </c>
      <c r="B25" s="3" t="s">
        <v>2</v>
      </c>
      <c r="C25" t="s">
        <v>67</v>
      </c>
      <c r="D25" s="4">
        <v>406</v>
      </c>
      <c r="E25" s="7">
        <f t="shared" ref="E25:E30" si="4">+D25/SUM($D$24:$D$30)</f>
        <v>8.0411962764903935E-2</v>
      </c>
      <c r="F25">
        <v>438273.41999999993</v>
      </c>
      <c r="G25">
        <f t="shared" si="2"/>
        <v>35242.425929887097</v>
      </c>
    </row>
    <row r="26" spans="1:10" x14ac:dyDescent="0.25">
      <c r="A26" s="3" t="s">
        <v>27</v>
      </c>
      <c r="B26" s="3" t="s">
        <v>2</v>
      </c>
      <c r="C26" t="s">
        <v>2</v>
      </c>
      <c r="D26" s="4">
        <v>1230</v>
      </c>
      <c r="E26" s="7">
        <f t="shared" si="4"/>
        <v>0.24361259655377301</v>
      </c>
      <c r="F26">
        <v>438273.41999999993</v>
      </c>
      <c r="G26">
        <f t="shared" si="2"/>
        <v>106768.92584670229</v>
      </c>
    </row>
    <row r="27" spans="1:10" x14ac:dyDescent="0.25">
      <c r="A27" s="3" t="s">
        <v>27</v>
      </c>
      <c r="B27" s="3" t="s">
        <v>2</v>
      </c>
      <c r="C27" t="s">
        <v>68</v>
      </c>
      <c r="D27" s="4">
        <v>115</v>
      </c>
      <c r="E27" s="7">
        <f t="shared" si="4"/>
        <v>2.2776787482669834E-2</v>
      </c>
      <c r="F27">
        <v>438273.41999999993</v>
      </c>
      <c r="G27">
        <f t="shared" si="2"/>
        <v>9982.4605466428966</v>
      </c>
    </row>
    <row r="28" spans="1:10" x14ac:dyDescent="0.25">
      <c r="A28" s="3" t="s">
        <v>27</v>
      </c>
      <c r="B28" s="3" t="s">
        <v>2</v>
      </c>
      <c r="C28" t="s">
        <v>69</v>
      </c>
      <c r="D28" s="4">
        <v>291</v>
      </c>
      <c r="E28" s="7">
        <f t="shared" si="4"/>
        <v>5.7635175282234108E-2</v>
      </c>
      <c r="F28">
        <v>438273.41999999993</v>
      </c>
      <c r="G28">
        <f t="shared" si="2"/>
        <v>25259.965383244202</v>
      </c>
    </row>
    <row r="29" spans="1:10" x14ac:dyDescent="0.25">
      <c r="A29" s="3" t="s">
        <v>27</v>
      </c>
      <c r="B29" s="3" t="s">
        <v>2</v>
      </c>
      <c r="C29" t="s">
        <v>70</v>
      </c>
      <c r="D29" s="4">
        <v>1422</v>
      </c>
      <c r="E29" s="7">
        <f t="shared" si="4"/>
        <v>0.28163992869875221</v>
      </c>
      <c r="F29">
        <v>438273.41999999993</v>
      </c>
      <c r="G29">
        <f t="shared" si="2"/>
        <v>123435.29475935826</v>
      </c>
    </row>
    <row r="30" spans="1:10" x14ac:dyDescent="0.25">
      <c r="A30" s="3" t="s">
        <v>27</v>
      </c>
      <c r="B30" s="3" t="s">
        <v>2</v>
      </c>
      <c r="C30" t="s">
        <v>71</v>
      </c>
      <c r="D30" s="4">
        <v>169</v>
      </c>
      <c r="E30" s="7">
        <f t="shared" si="4"/>
        <v>3.3471974648445237E-2</v>
      </c>
      <c r="F30">
        <v>438273.41999999993</v>
      </c>
      <c r="G30">
        <f t="shared" si="2"/>
        <v>14669.876803327388</v>
      </c>
    </row>
    <row r="31" spans="1:10" s="12" customFormat="1" x14ac:dyDescent="0.25">
      <c r="A31" s="11" t="s">
        <v>27</v>
      </c>
      <c r="B31" s="11" t="s">
        <v>3</v>
      </c>
      <c r="C31" s="12" t="s">
        <v>1</v>
      </c>
      <c r="D31" s="13">
        <v>219</v>
      </c>
      <c r="E31" s="14">
        <f>+D31/SUM($D$31:$D$36)</f>
        <v>7.9665332848308471E-2</v>
      </c>
      <c r="F31" s="12">
        <v>409575.36030000052</v>
      </c>
      <c r="G31" s="12">
        <f t="shared" si="2"/>
        <v>32628.95740476541</v>
      </c>
      <c r="H31" s="17">
        <f>+SUM(E31:E36)</f>
        <v>1</v>
      </c>
      <c r="I31" s="12">
        <f>+SUM(G31:G36)</f>
        <v>409575.36030000052</v>
      </c>
      <c r="J31" s="12" t="b">
        <f>+I31=F31</f>
        <v>1</v>
      </c>
    </row>
    <row r="32" spans="1:10" x14ac:dyDescent="0.25">
      <c r="A32" s="3" t="s">
        <v>27</v>
      </c>
      <c r="B32" s="3" t="s">
        <v>3</v>
      </c>
      <c r="C32" t="s">
        <v>72</v>
      </c>
      <c r="D32" s="4">
        <v>286</v>
      </c>
      <c r="E32" s="7">
        <f t="shared" ref="E32:E36" si="5">+D32/SUM($D$31:$D$36)</f>
        <v>0.10403783193888687</v>
      </c>
      <c r="F32">
        <v>409575.36030000052</v>
      </c>
      <c r="G32">
        <f t="shared" si="2"/>
        <v>42611.332501200493</v>
      </c>
    </row>
    <row r="33" spans="1:10" x14ac:dyDescent="0.25">
      <c r="A33" s="3" t="s">
        <v>27</v>
      </c>
      <c r="B33" s="3" t="s">
        <v>3</v>
      </c>
      <c r="C33" t="s">
        <v>73</v>
      </c>
      <c r="D33" s="4">
        <v>240</v>
      </c>
      <c r="E33" s="7">
        <f t="shared" si="5"/>
        <v>8.7304474354310657E-2</v>
      </c>
      <c r="F33">
        <v>409575.36030000052</v>
      </c>
      <c r="G33">
        <f t="shared" si="2"/>
        <v>35757.761539468942</v>
      </c>
    </row>
    <row r="34" spans="1:10" x14ac:dyDescent="0.25">
      <c r="A34" s="3" t="s">
        <v>27</v>
      </c>
      <c r="B34" s="3" t="s">
        <v>3</v>
      </c>
      <c r="C34" t="s">
        <v>74</v>
      </c>
      <c r="D34" s="4">
        <v>625</v>
      </c>
      <c r="E34" s="7">
        <f t="shared" si="5"/>
        <v>0.22735540196435067</v>
      </c>
      <c r="F34">
        <v>409575.36030000052</v>
      </c>
      <c r="G34">
        <f t="shared" si="2"/>
        <v>93119.17067570037</v>
      </c>
    </row>
    <row r="35" spans="1:10" x14ac:dyDescent="0.25">
      <c r="A35" s="3" t="s">
        <v>27</v>
      </c>
      <c r="B35" s="3" t="s">
        <v>3</v>
      </c>
      <c r="C35" t="s">
        <v>75</v>
      </c>
      <c r="D35" s="4">
        <v>179</v>
      </c>
      <c r="E35" s="7">
        <f t="shared" si="5"/>
        <v>6.5114587122590037E-2</v>
      </c>
      <c r="F35">
        <v>409575.36030000052</v>
      </c>
      <c r="G35">
        <f t="shared" si="2"/>
        <v>26669.330481520588</v>
      </c>
    </row>
    <row r="36" spans="1:10" x14ac:dyDescent="0.25">
      <c r="A36" s="3" t="s">
        <v>27</v>
      </c>
      <c r="B36" s="3" t="s">
        <v>3</v>
      </c>
      <c r="C36" t="s">
        <v>76</v>
      </c>
      <c r="D36" s="4">
        <v>1200</v>
      </c>
      <c r="E36" s="7">
        <f t="shared" si="5"/>
        <v>0.43652237177155329</v>
      </c>
      <c r="F36">
        <v>409575.36030000052</v>
      </c>
      <c r="G36">
        <f t="shared" si="2"/>
        <v>178788.80769734472</v>
      </c>
    </row>
    <row r="37" spans="1:10" s="12" customFormat="1" x14ac:dyDescent="0.25">
      <c r="A37" s="11" t="s">
        <v>27</v>
      </c>
      <c r="B37" s="11" t="s">
        <v>4</v>
      </c>
      <c r="C37" s="12" t="s">
        <v>77</v>
      </c>
      <c r="D37" s="13">
        <v>1341</v>
      </c>
      <c r="E37" s="14">
        <f>+D37/SUM($D$37:$D$46)</f>
        <v>0.11645679548415111</v>
      </c>
      <c r="F37" s="12">
        <v>669162.1101999972</v>
      </c>
      <c r="G37" s="12">
        <f t="shared" si="2"/>
        <v>77928.475013304065</v>
      </c>
      <c r="H37" s="17">
        <f>+SUM(E37:E46)</f>
        <v>1</v>
      </c>
      <c r="I37" s="12">
        <f>+SUM(G37:G46)</f>
        <v>669162.1101999972</v>
      </c>
      <c r="J37" s="12" t="b">
        <f>+I37=F37</f>
        <v>1</v>
      </c>
    </row>
    <row r="38" spans="1:10" x14ac:dyDescent="0.25">
      <c r="A38" s="3" t="s">
        <v>27</v>
      </c>
      <c r="B38" s="3" t="s">
        <v>4</v>
      </c>
      <c r="C38" t="s">
        <v>78</v>
      </c>
      <c r="D38" s="4">
        <v>463</v>
      </c>
      <c r="E38" s="7">
        <f t="shared" ref="E38:E46" si="6">+D38/SUM($D$37:$D$46)</f>
        <v>4.0208423795049936E-2</v>
      </c>
      <c r="F38">
        <v>669162.1101999972</v>
      </c>
      <c r="G38">
        <f t="shared" si="2"/>
        <v>26905.953714511394</v>
      </c>
    </row>
    <row r="39" spans="1:10" x14ac:dyDescent="0.25">
      <c r="A39" s="3" t="s">
        <v>27</v>
      </c>
      <c r="B39" s="3" t="s">
        <v>4</v>
      </c>
      <c r="C39" t="s">
        <v>79</v>
      </c>
      <c r="D39" s="4">
        <v>454</v>
      </c>
      <c r="E39" s="7">
        <f t="shared" si="6"/>
        <v>3.9426834563612678E-2</v>
      </c>
      <c r="F39">
        <v>669162.1101999972</v>
      </c>
      <c r="G39">
        <f t="shared" si="2"/>
        <v>26382.943815093244</v>
      </c>
    </row>
    <row r="40" spans="1:10" x14ac:dyDescent="0.25">
      <c r="A40" s="3" t="s">
        <v>27</v>
      </c>
      <c r="B40" s="3" t="s">
        <v>4</v>
      </c>
      <c r="C40" t="s">
        <v>80</v>
      </c>
      <c r="D40" s="4">
        <v>835</v>
      </c>
      <c r="E40" s="7">
        <f t="shared" si="6"/>
        <v>7.2514112027789845E-2</v>
      </c>
      <c r="F40">
        <v>669162.1101999972</v>
      </c>
      <c r="G40">
        <f t="shared" si="2"/>
        <v>48523.696223794854</v>
      </c>
    </row>
    <row r="41" spans="1:10" x14ac:dyDescent="0.25">
      <c r="A41" s="3" t="s">
        <v>27</v>
      </c>
      <c r="B41" s="3" t="s">
        <v>4</v>
      </c>
      <c r="C41" t="s">
        <v>81</v>
      </c>
      <c r="D41" s="4">
        <v>445</v>
      </c>
      <c r="E41" s="7">
        <f t="shared" si="6"/>
        <v>3.8645245332175421E-2</v>
      </c>
      <c r="F41">
        <v>669162.1101999972</v>
      </c>
      <c r="G41">
        <f t="shared" si="2"/>
        <v>25859.933915675098</v>
      </c>
    </row>
    <row r="42" spans="1:10" x14ac:dyDescent="0.25">
      <c r="A42" s="3" t="s">
        <v>27</v>
      </c>
      <c r="B42" s="3" t="s">
        <v>4</v>
      </c>
      <c r="C42" t="s">
        <v>82</v>
      </c>
      <c r="D42" s="4">
        <v>1441</v>
      </c>
      <c r="E42" s="7">
        <f t="shared" si="6"/>
        <v>0.12514112027789839</v>
      </c>
      <c r="F42">
        <v>669162.1101999972</v>
      </c>
      <c r="G42">
        <f t="shared" si="2"/>
        <v>83739.696117950152</v>
      </c>
    </row>
    <row r="43" spans="1:10" x14ac:dyDescent="0.25">
      <c r="A43" s="3" t="s">
        <v>27</v>
      </c>
      <c r="B43" s="3" t="s">
        <v>4</v>
      </c>
      <c r="C43" t="s">
        <v>83</v>
      </c>
      <c r="D43" s="4">
        <v>1479</v>
      </c>
      <c r="E43" s="7">
        <f t="shared" si="6"/>
        <v>0.12844116369952235</v>
      </c>
      <c r="F43">
        <v>669162.1101999972</v>
      </c>
      <c r="G43">
        <f t="shared" si="2"/>
        <v>85947.96013771565</v>
      </c>
    </row>
    <row r="44" spans="1:10" x14ac:dyDescent="0.25">
      <c r="A44" s="3" t="s">
        <v>27</v>
      </c>
      <c r="B44" s="3" t="s">
        <v>4</v>
      </c>
      <c r="C44" t="s">
        <v>84</v>
      </c>
      <c r="D44" s="4">
        <v>436</v>
      </c>
      <c r="E44" s="7">
        <f t="shared" si="6"/>
        <v>3.786365610073817E-2</v>
      </c>
      <c r="F44">
        <v>669162.1101999972</v>
      </c>
      <c r="G44">
        <f t="shared" si="2"/>
        <v>25336.924016256951</v>
      </c>
    </row>
    <row r="45" spans="1:10" x14ac:dyDescent="0.25">
      <c r="A45" s="3" t="s">
        <v>27</v>
      </c>
      <c r="B45" s="3" t="s">
        <v>4</v>
      </c>
      <c r="C45" t="s">
        <v>85</v>
      </c>
      <c r="D45" s="4">
        <v>163</v>
      </c>
      <c r="E45" s="7">
        <f t="shared" si="6"/>
        <v>1.4155449413808077E-2</v>
      </c>
      <c r="F45">
        <v>669162.1101999972</v>
      </c>
      <c r="G45">
        <f t="shared" si="2"/>
        <v>9472.2904005731252</v>
      </c>
    </row>
    <row r="46" spans="1:10" x14ac:dyDescent="0.25">
      <c r="A46" s="3" t="s">
        <v>27</v>
      </c>
      <c r="B46" s="3" t="s">
        <v>4</v>
      </c>
      <c r="C46" t="s">
        <v>86</v>
      </c>
      <c r="D46" s="4">
        <v>4458</v>
      </c>
      <c r="E46" s="7">
        <f t="shared" si="6"/>
        <v>0.38714719930525404</v>
      </c>
      <c r="F46">
        <v>669162.1101999972</v>
      </c>
      <c r="G46">
        <f t="shared" si="2"/>
        <v>259064.23684512268</v>
      </c>
    </row>
    <row r="47" spans="1:10" s="12" customFormat="1" x14ac:dyDescent="0.25">
      <c r="A47" s="11" t="s">
        <v>27</v>
      </c>
      <c r="B47" s="11" t="s">
        <v>5</v>
      </c>
      <c r="C47" s="12" t="s">
        <v>87</v>
      </c>
      <c r="D47" s="13">
        <v>797</v>
      </c>
      <c r="E47" s="14">
        <f>+D47/SUM($D$47:$D$53)</f>
        <v>8.5800409086015716E-2</v>
      </c>
      <c r="F47" s="12">
        <v>947646.02979999874</v>
      </c>
      <c r="G47" s="12">
        <f t="shared" si="2"/>
        <v>81308.417025578528</v>
      </c>
      <c r="H47" s="17">
        <f>+SUM(E47:E53)</f>
        <v>1.0000000000000002</v>
      </c>
      <c r="I47" s="12">
        <f>+SUM(G47:G53)</f>
        <v>947646.02979999874</v>
      </c>
      <c r="J47" s="12" t="b">
        <f>+I47=F47</f>
        <v>1</v>
      </c>
    </row>
    <row r="48" spans="1:10" x14ac:dyDescent="0.25">
      <c r="A48" s="3" t="s">
        <v>27</v>
      </c>
      <c r="B48" s="3" t="s">
        <v>5</v>
      </c>
      <c r="C48" t="s">
        <v>88</v>
      </c>
      <c r="D48" s="4">
        <v>3231</v>
      </c>
      <c r="E48" s="7">
        <f t="shared" ref="E48:E53" si="7">+D48/SUM($D$47:$D$53)</f>
        <v>0.34783076757455056</v>
      </c>
      <c r="F48">
        <v>947646.02979999874</v>
      </c>
      <c r="G48">
        <f t="shared" si="2"/>
        <v>329620.44593430898</v>
      </c>
    </row>
    <row r="49" spans="1:10" x14ac:dyDescent="0.25">
      <c r="A49" s="3" t="s">
        <v>27</v>
      </c>
      <c r="B49" s="3" t="s">
        <v>5</v>
      </c>
      <c r="C49" t="s">
        <v>89</v>
      </c>
      <c r="D49" s="4">
        <v>635</v>
      </c>
      <c r="E49" s="7">
        <f t="shared" si="7"/>
        <v>6.8360426310690059E-2</v>
      </c>
      <c r="F49">
        <v>947646.02979999874</v>
      </c>
      <c r="G49">
        <f t="shared" si="2"/>
        <v>64781.48658876081</v>
      </c>
    </row>
    <row r="50" spans="1:10" x14ac:dyDescent="0.25">
      <c r="A50" s="3" t="s">
        <v>27</v>
      </c>
      <c r="B50" s="3" t="s">
        <v>5</v>
      </c>
      <c r="C50" t="s">
        <v>90</v>
      </c>
      <c r="D50" s="4">
        <v>1632</v>
      </c>
      <c r="E50" s="7">
        <f t="shared" si="7"/>
        <v>0.1756916783292066</v>
      </c>
      <c r="F50">
        <v>947646.02979999874</v>
      </c>
      <c r="G50">
        <f t="shared" si="2"/>
        <v>166493.52143757109</v>
      </c>
    </row>
    <row r="51" spans="1:10" x14ac:dyDescent="0.25">
      <c r="A51" s="3" t="s">
        <v>27</v>
      </c>
      <c r="B51" s="3" t="s">
        <v>5</v>
      </c>
      <c r="C51" t="s">
        <v>91</v>
      </c>
      <c r="D51" s="4">
        <v>1560</v>
      </c>
      <c r="E51" s="7">
        <f t="shared" si="7"/>
        <v>0.1679405748735063</v>
      </c>
      <c r="F51">
        <v>947646.02979999874</v>
      </c>
      <c r="G51">
        <f t="shared" si="2"/>
        <v>159148.21902120768</v>
      </c>
    </row>
    <row r="52" spans="1:10" x14ac:dyDescent="0.25">
      <c r="A52" s="3" t="s">
        <v>27</v>
      </c>
      <c r="B52" s="3" t="s">
        <v>5</v>
      </c>
      <c r="C52" t="s">
        <v>92</v>
      </c>
      <c r="D52" s="4">
        <v>902</v>
      </c>
      <c r="E52" s="7">
        <f t="shared" si="7"/>
        <v>9.7104101625578643E-2</v>
      </c>
      <c r="F52">
        <v>947646.02979999874</v>
      </c>
      <c r="G52">
        <f t="shared" si="2"/>
        <v>92020.3163827752</v>
      </c>
    </row>
    <row r="53" spans="1:10" x14ac:dyDescent="0.25">
      <c r="A53" s="3" t="s">
        <v>27</v>
      </c>
      <c r="B53" s="3" t="s">
        <v>5</v>
      </c>
      <c r="C53" t="s">
        <v>93</v>
      </c>
      <c r="D53" s="4">
        <v>532</v>
      </c>
      <c r="E53" s="7">
        <f t="shared" si="7"/>
        <v>5.727204220045215E-2</v>
      </c>
      <c r="F53">
        <v>947646.02979999874</v>
      </c>
      <c r="G53">
        <f t="shared" si="2"/>
        <v>54273.623409796463</v>
      </c>
    </row>
    <row r="54" spans="1:10" s="12" customFormat="1" x14ac:dyDescent="0.25">
      <c r="A54" s="11" t="s">
        <v>27</v>
      </c>
      <c r="B54" s="11" t="s">
        <v>6</v>
      </c>
      <c r="C54" s="12" t="s">
        <v>94</v>
      </c>
      <c r="D54" s="13">
        <v>954</v>
      </c>
      <c r="E54" s="14">
        <f>+D54/SUM($D$54:$D$67)</f>
        <v>7.2818868788642091E-2</v>
      </c>
      <c r="F54" s="12">
        <v>846152.38040000014</v>
      </c>
      <c r="G54" s="12">
        <f t="shared" si="2"/>
        <v>61615.859163544781</v>
      </c>
      <c r="H54" s="17">
        <f>+SUM(E54:E67)</f>
        <v>0.99999999999999989</v>
      </c>
      <c r="I54" s="12">
        <f>+SUM(G54:G67)</f>
        <v>846152.38039999991</v>
      </c>
      <c r="J54" s="12" t="b">
        <f>+I54=F54</f>
        <v>1</v>
      </c>
    </row>
    <row r="55" spans="1:10" x14ac:dyDescent="0.25">
      <c r="A55" s="3" t="s">
        <v>27</v>
      </c>
      <c r="B55" s="3" t="s">
        <v>6</v>
      </c>
      <c r="C55" t="s">
        <v>95</v>
      </c>
      <c r="D55" s="4">
        <v>135</v>
      </c>
      <c r="E55" s="7">
        <f t="shared" ref="E55:E67" si="8">+D55/SUM($D$54:$D$67)</f>
        <v>1.0304556904053125E-2</v>
      </c>
      <c r="F55">
        <v>846152.38040000014</v>
      </c>
      <c r="G55">
        <f t="shared" si="2"/>
        <v>8719.2253533318071</v>
      </c>
    </row>
    <row r="56" spans="1:10" x14ac:dyDescent="0.25">
      <c r="A56" s="3" t="s">
        <v>27</v>
      </c>
      <c r="B56" s="3" t="s">
        <v>6</v>
      </c>
      <c r="C56" t="s">
        <v>96</v>
      </c>
      <c r="D56" s="4">
        <v>216</v>
      </c>
      <c r="E56" s="7">
        <f t="shared" si="8"/>
        <v>1.6487291046485001E-2</v>
      </c>
      <c r="F56">
        <v>846152.38040000014</v>
      </c>
      <c r="G56">
        <f t="shared" si="2"/>
        <v>13950.760565330893</v>
      </c>
    </row>
    <row r="57" spans="1:10" x14ac:dyDescent="0.25">
      <c r="A57" s="3" t="s">
        <v>27</v>
      </c>
      <c r="B57" s="3" t="s">
        <v>6</v>
      </c>
      <c r="C57" t="s">
        <v>97</v>
      </c>
      <c r="D57" s="4">
        <v>90</v>
      </c>
      <c r="E57" s="7">
        <f t="shared" si="8"/>
        <v>6.8697046027020835E-3</v>
      </c>
      <c r="F57">
        <v>846152.38040000014</v>
      </c>
      <c r="G57">
        <f t="shared" si="2"/>
        <v>5812.8169022212051</v>
      </c>
    </row>
    <row r="58" spans="1:10" x14ac:dyDescent="0.25">
      <c r="A58" s="3" t="s">
        <v>27</v>
      </c>
      <c r="B58" s="3" t="s">
        <v>6</v>
      </c>
      <c r="C58" t="s">
        <v>98</v>
      </c>
      <c r="D58" s="4">
        <v>1293</v>
      </c>
      <c r="E58" s="7">
        <f t="shared" si="8"/>
        <v>9.8694756125486602E-2</v>
      </c>
      <c r="F58">
        <v>846152.38040000014</v>
      </c>
      <c r="G58">
        <f t="shared" si="2"/>
        <v>83510.802828577987</v>
      </c>
    </row>
    <row r="59" spans="1:10" x14ac:dyDescent="0.25">
      <c r="A59" s="3" t="s">
        <v>27</v>
      </c>
      <c r="B59" s="3" t="s">
        <v>6</v>
      </c>
      <c r="C59" t="s">
        <v>99</v>
      </c>
      <c r="D59" s="4">
        <v>1471</v>
      </c>
      <c r="E59" s="7">
        <f t="shared" si="8"/>
        <v>0.1122815052286085</v>
      </c>
      <c r="F59">
        <v>846152.38040000014</v>
      </c>
      <c r="G59">
        <f t="shared" si="2"/>
        <v>95007.262924082141</v>
      </c>
    </row>
    <row r="60" spans="1:10" x14ac:dyDescent="0.25">
      <c r="A60" s="3" t="s">
        <v>27</v>
      </c>
      <c r="B60" s="3" t="s">
        <v>6</v>
      </c>
      <c r="C60" t="s">
        <v>100</v>
      </c>
      <c r="D60" s="4">
        <v>81</v>
      </c>
      <c r="E60" s="7">
        <f t="shared" si="8"/>
        <v>6.1827341424318758E-3</v>
      </c>
      <c r="F60">
        <v>846152.38040000014</v>
      </c>
      <c r="G60">
        <f t="shared" si="2"/>
        <v>5231.5352119990848</v>
      </c>
    </row>
    <row r="61" spans="1:10" x14ac:dyDescent="0.25">
      <c r="A61" s="3" t="s">
        <v>27</v>
      </c>
      <c r="B61" s="3" t="s">
        <v>6</v>
      </c>
      <c r="C61" t="s">
        <v>101</v>
      </c>
      <c r="D61" s="4">
        <v>3663</v>
      </c>
      <c r="E61" s="7">
        <f t="shared" si="8"/>
        <v>0.27959697732997479</v>
      </c>
      <c r="F61">
        <v>846152.38040000014</v>
      </c>
      <c r="G61">
        <f t="shared" si="2"/>
        <v>236581.64792040305</v>
      </c>
    </row>
    <row r="62" spans="1:10" x14ac:dyDescent="0.25">
      <c r="A62" s="3" t="s">
        <v>27</v>
      </c>
      <c r="B62" s="3" t="s">
        <v>6</v>
      </c>
      <c r="C62" t="s">
        <v>102</v>
      </c>
      <c r="D62" s="4">
        <v>171</v>
      </c>
      <c r="E62" s="7">
        <f t="shared" si="8"/>
        <v>1.3052438745133959E-2</v>
      </c>
      <c r="F62">
        <v>846152.38040000014</v>
      </c>
      <c r="G62">
        <f t="shared" si="2"/>
        <v>11044.35211422029</v>
      </c>
    </row>
    <row r="63" spans="1:10" x14ac:dyDescent="0.25">
      <c r="A63" s="3" t="s">
        <v>27</v>
      </c>
      <c r="B63" s="3" t="s">
        <v>6</v>
      </c>
      <c r="C63" t="s">
        <v>103</v>
      </c>
      <c r="D63" s="4">
        <v>1339</v>
      </c>
      <c r="E63" s="7">
        <f t="shared" si="8"/>
        <v>0.10220593847797878</v>
      </c>
      <c r="F63">
        <v>846152.38040000014</v>
      </c>
      <c r="G63">
        <f t="shared" si="2"/>
        <v>86481.798134157711</v>
      </c>
    </row>
    <row r="64" spans="1:10" x14ac:dyDescent="0.25">
      <c r="A64" s="3" t="s">
        <v>27</v>
      </c>
      <c r="B64" s="3" t="s">
        <v>6</v>
      </c>
      <c r="C64" t="s">
        <v>255</v>
      </c>
      <c r="D64" s="4">
        <v>653</v>
      </c>
      <c r="E64" s="7">
        <f t="shared" si="8"/>
        <v>4.9843523395160676E-2</v>
      </c>
      <c r="F64">
        <v>846152.38040000014</v>
      </c>
      <c r="G64">
        <f t="shared" si="2"/>
        <v>42175.2159683383</v>
      </c>
    </row>
    <row r="65" spans="1:10" x14ac:dyDescent="0.25">
      <c r="A65" s="3" t="s">
        <v>27</v>
      </c>
      <c r="B65" s="3" t="s">
        <v>6</v>
      </c>
      <c r="C65" t="s">
        <v>104</v>
      </c>
      <c r="D65" s="4">
        <v>378</v>
      </c>
      <c r="E65" s="7">
        <f t="shared" si="8"/>
        <v>2.8852759331348753E-2</v>
      </c>
      <c r="F65">
        <v>846152.38040000014</v>
      </c>
      <c r="G65">
        <f t="shared" si="2"/>
        <v>24413.830989329064</v>
      </c>
    </row>
    <row r="66" spans="1:10" x14ac:dyDescent="0.25">
      <c r="A66" s="3" t="s">
        <v>27</v>
      </c>
      <c r="B66" s="3" t="s">
        <v>6</v>
      </c>
      <c r="C66" t="s">
        <v>105</v>
      </c>
      <c r="D66" s="4">
        <v>2036</v>
      </c>
      <c r="E66" s="7">
        <f t="shared" si="8"/>
        <v>0.15540798412334936</v>
      </c>
      <c r="F66">
        <v>846152.38040000014</v>
      </c>
      <c r="G66">
        <f t="shared" si="2"/>
        <v>131498.83569913747</v>
      </c>
    </row>
    <row r="67" spans="1:10" x14ac:dyDescent="0.25">
      <c r="A67" s="3" t="s">
        <v>27</v>
      </c>
      <c r="B67" s="3" t="s">
        <v>6</v>
      </c>
      <c r="C67" t="s">
        <v>106</v>
      </c>
      <c r="D67" s="4">
        <v>621</v>
      </c>
      <c r="E67" s="7">
        <f t="shared" si="8"/>
        <v>4.7400961758644375E-2</v>
      </c>
      <c r="F67">
        <v>846152.38040000014</v>
      </c>
      <c r="G67">
        <f t="shared" si="2"/>
        <v>40108.436625326314</v>
      </c>
    </row>
    <row r="68" spans="1:10" s="12" customFormat="1" x14ac:dyDescent="0.25">
      <c r="A68" s="11" t="s">
        <v>27</v>
      </c>
      <c r="B68" s="11" t="s">
        <v>7</v>
      </c>
      <c r="C68" s="12" t="s">
        <v>107</v>
      </c>
      <c r="D68" s="13">
        <v>1426</v>
      </c>
      <c r="E68" s="14">
        <f>+D68/SUM($D$68:$D$74)</f>
        <v>9.4162704701531957E-2</v>
      </c>
      <c r="F68" s="12">
        <v>2436115.2094999962</v>
      </c>
      <c r="G68" s="12">
        <f t="shared" si="2"/>
        <v>229391.1970910588</v>
      </c>
      <c r="H68" s="17">
        <f>+SUM(E68:E74)</f>
        <v>1</v>
      </c>
      <c r="I68" s="12">
        <f>+SUM(G68:G74)</f>
        <v>2436115.2094999962</v>
      </c>
      <c r="J68" s="12" t="b">
        <f>+I68=F68</f>
        <v>1</v>
      </c>
    </row>
    <row r="69" spans="1:10" x14ac:dyDescent="0.25">
      <c r="A69" s="3" t="s">
        <v>27</v>
      </c>
      <c r="B69" s="3" t="s">
        <v>7</v>
      </c>
      <c r="C69" t="s">
        <v>108</v>
      </c>
      <c r="D69" s="4">
        <v>2327</v>
      </c>
      <c r="E69" s="7">
        <f t="shared" ref="E69:E74" si="9">+D69/SUM($D$68:$D$74)</f>
        <v>0.1536582144743793</v>
      </c>
      <c r="F69">
        <v>2436115.2094999962</v>
      </c>
      <c r="G69">
        <f t="shared" si="2"/>
        <v>374329.11334564787</v>
      </c>
    </row>
    <row r="70" spans="1:10" x14ac:dyDescent="0.25">
      <c r="A70" s="3" t="s">
        <v>27</v>
      </c>
      <c r="B70" s="3" t="s">
        <v>7</v>
      </c>
      <c r="C70" t="s">
        <v>7</v>
      </c>
      <c r="D70" s="4">
        <v>4353</v>
      </c>
      <c r="E70" s="7">
        <f t="shared" si="9"/>
        <v>0.28744057052297939</v>
      </c>
      <c r="F70">
        <v>2436115.2094999962</v>
      </c>
      <c r="G70">
        <f t="shared" si="2"/>
        <v>700238.34567838639</v>
      </c>
    </row>
    <row r="71" spans="1:10" x14ac:dyDescent="0.25">
      <c r="A71" s="3" t="s">
        <v>27</v>
      </c>
      <c r="B71" s="3" t="s">
        <v>7</v>
      </c>
      <c r="C71" t="s">
        <v>109</v>
      </c>
      <c r="D71" s="4">
        <v>845</v>
      </c>
      <c r="E71" s="7">
        <f t="shared" si="9"/>
        <v>5.5797675647120973E-2</v>
      </c>
      <c r="F71">
        <v>2436115.2094999962</v>
      </c>
      <c r="G71">
        <f t="shared" si="2"/>
        <v>135929.56629869895</v>
      </c>
    </row>
    <row r="72" spans="1:10" x14ac:dyDescent="0.25">
      <c r="A72" s="3" t="s">
        <v>27</v>
      </c>
      <c r="B72" s="3" t="s">
        <v>7</v>
      </c>
      <c r="C72" t="s">
        <v>110</v>
      </c>
      <c r="D72" s="4">
        <v>2389</v>
      </c>
      <c r="E72" s="7">
        <f t="shared" si="9"/>
        <v>0.15775224511357633</v>
      </c>
      <c r="F72">
        <v>2436115.2094999962</v>
      </c>
      <c r="G72">
        <f t="shared" si="2"/>
        <v>384302.64365395473</v>
      </c>
    </row>
    <row r="73" spans="1:10" x14ac:dyDescent="0.25">
      <c r="A73" s="3" t="s">
        <v>27</v>
      </c>
      <c r="B73" s="3" t="s">
        <v>7</v>
      </c>
      <c r="C73" t="s">
        <v>111</v>
      </c>
      <c r="D73" s="4">
        <v>1031</v>
      </c>
      <c r="E73" s="7">
        <f t="shared" si="9"/>
        <v>6.8079767564712096E-2</v>
      </c>
      <c r="F73">
        <v>2436115.2094999962</v>
      </c>
      <c r="G73">
        <f t="shared" si="2"/>
        <v>165850.15722361964</v>
      </c>
    </row>
    <row r="74" spans="1:10" x14ac:dyDescent="0.25">
      <c r="A74" s="3" t="s">
        <v>27</v>
      </c>
      <c r="B74" s="3" t="s">
        <v>7</v>
      </c>
      <c r="C74" t="s">
        <v>112</v>
      </c>
      <c r="D74" s="4">
        <v>2773</v>
      </c>
      <c r="E74" s="7">
        <f t="shared" si="9"/>
        <v>0.18310882197569994</v>
      </c>
      <c r="F74">
        <v>2436115.2094999962</v>
      </c>
      <c r="G74">
        <f t="shared" si="2"/>
        <v>446074.18620862975</v>
      </c>
    </row>
    <row r="75" spans="1:10" s="12" customFormat="1" x14ac:dyDescent="0.25">
      <c r="A75" s="11" t="s">
        <v>27</v>
      </c>
      <c r="B75" s="11" t="s">
        <v>8</v>
      </c>
      <c r="C75" s="12" t="s">
        <v>113</v>
      </c>
      <c r="D75" s="13">
        <v>79</v>
      </c>
      <c r="E75" s="14">
        <f>+D75/SUM($D$75:$D$77)</f>
        <v>0.19174757281553398</v>
      </c>
      <c r="F75" s="12">
        <v>86520.34990000003</v>
      </c>
      <c r="G75" s="12">
        <f t="shared" si="2"/>
        <v>16590.067092475732</v>
      </c>
      <c r="H75" s="17">
        <f>+SUM(E75:E77)</f>
        <v>1</v>
      </c>
      <c r="I75" s="12">
        <f>+SUM(G75:G77)</f>
        <v>86520.34990000003</v>
      </c>
      <c r="J75" s="12" t="b">
        <f>+I75=F75</f>
        <v>1</v>
      </c>
    </row>
    <row r="76" spans="1:10" x14ac:dyDescent="0.25">
      <c r="A76" s="3" t="s">
        <v>27</v>
      </c>
      <c r="B76" s="3" t="s">
        <v>8</v>
      </c>
      <c r="C76" t="s">
        <v>114</v>
      </c>
      <c r="D76" s="4">
        <v>144</v>
      </c>
      <c r="E76" s="7">
        <f t="shared" ref="E76:E77" si="10">+D76/SUM($D$75:$D$77)</f>
        <v>0.34951456310679613</v>
      </c>
      <c r="F76">
        <v>86520.34990000003</v>
      </c>
      <c r="G76">
        <f t="shared" si="2"/>
        <v>30240.122295145644</v>
      </c>
    </row>
    <row r="77" spans="1:10" x14ac:dyDescent="0.25">
      <c r="A77" s="3" t="s">
        <v>27</v>
      </c>
      <c r="B77" s="3" t="s">
        <v>8</v>
      </c>
      <c r="C77" t="s">
        <v>115</v>
      </c>
      <c r="D77" s="4">
        <v>189</v>
      </c>
      <c r="E77" s="7">
        <f t="shared" si="10"/>
        <v>0.45873786407766992</v>
      </c>
      <c r="F77">
        <v>86520.34990000003</v>
      </c>
      <c r="G77">
        <f t="shared" si="2"/>
        <v>39690.160512378658</v>
      </c>
    </row>
    <row r="78" spans="1:10" s="12" customFormat="1" x14ac:dyDescent="0.25">
      <c r="A78" s="11" t="s">
        <v>27</v>
      </c>
      <c r="B78" s="11" t="s">
        <v>9</v>
      </c>
      <c r="C78" s="12" t="s">
        <v>116</v>
      </c>
      <c r="D78" s="13">
        <v>360</v>
      </c>
      <c r="E78" s="14">
        <f>+D78/SUM($D$78:$D$102)</f>
        <v>5.7206419831558877E-3</v>
      </c>
      <c r="F78" s="12">
        <v>5703265.4000000022</v>
      </c>
      <c r="G78" s="12">
        <f t="shared" si="2"/>
        <v>32626.339488320369</v>
      </c>
      <c r="H78" s="17">
        <f>+SUM(E78:E102)</f>
        <v>0.99999999999999989</v>
      </c>
      <c r="I78" s="12">
        <f>+SUM(G78:G102)</f>
        <v>5703265.4000000022</v>
      </c>
      <c r="J78" s="12" t="b">
        <f>+I78=F78</f>
        <v>1</v>
      </c>
    </row>
    <row r="79" spans="1:10" x14ac:dyDescent="0.25">
      <c r="A79" s="3" t="s">
        <v>27</v>
      </c>
      <c r="B79" s="3" t="s">
        <v>9</v>
      </c>
      <c r="C79" t="s">
        <v>117</v>
      </c>
      <c r="D79" s="4">
        <v>558</v>
      </c>
      <c r="E79" s="7">
        <f t="shared" ref="E79:E102" si="11">+D79/SUM($D$78:$D$102)</f>
        <v>8.8669950738916262E-3</v>
      </c>
      <c r="F79">
        <v>5703265.4000000022</v>
      </c>
      <c r="G79">
        <f t="shared" si="2"/>
        <v>50570.826206896578</v>
      </c>
    </row>
    <row r="80" spans="1:10" x14ac:dyDescent="0.25">
      <c r="A80" s="3" t="s">
        <v>27</v>
      </c>
      <c r="B80" s="3" t="s">
        <v>9</v>
      </c>
      <c r="C80" t="s">
        <v>118</v>
      </c>
      <c r="D80" s="4">
        <v>1892</v>
      </c>
      <c r="E80" s="7">
        <f t="shared" si="11"/>
        <v>3.0065151755919277E-2</v>
      </c>
      <c r="F80">
        <v>5703265.4000000022</v>
      </c>
      <c r="G80">
        <f t="shared" si="2"/>
        <v>171469.53975528374</v>
      </c>
    </row>
    <row r="81" spans="1:7" x14ac:dyDescent="0.25">
      <c r="A81" s="3" t="s">
        <v>27</v>
      </c>
      <c r="B81" s="3" t="s">
        <v>9</v>
      </c>
      <c r="C81" t="s">
        <v>119</v>
      </c>
      <c r="D81" s="4">
        <v>979</v>
      </c>
      <c r="E81" s="7">
        <f t="shared" si="11"/>
        <v>1.5556968059748927E-2</v>
      </c>
      <c r="F81">
        <v>5703265.4000000022</v>
      </c>
      <c r="G81">
        <f t="shared" ref="G81:G144" si="12">+E81*F81</f>
        <v>88725.517664071231</v>
      </c>
    </row>
    <row r="82" spans="1:7" x14ac:dyDescent="0.25">
      <c r="A82" s="3" t="s">
        <v>27</v>
      </c>
      <c r="B82" s="3" t="s">
        <v>9</v>
      </c>
      <c r="C82" t="s">
        <v>256</v>
      </c>
      <c r="D82" s="4">
        <v>160</v>
      </c>
      <c r="E82" s="7">
        <f t="shared" si="11"/>
        <v>2.5425075480692834E-3</v>
      </c>
      <c r="F82">
        <v>5703265.4000000022</v>
      </c>
      <c r="G82">
        <f t="shared" si="12"/>
        <v>14500.595328142386</v>
      </c>
    </row>
    <row r="83" spans="1:7" x14ac:dyDescent="0.25">
      <c r="A83" s="3" t="s">
        <v>27</v>
      </c>
      <c r="B83" s="3" t="s">
        <v>9</v>
      </c>
      <c r="C83" t="s">
        <v>120</v>
      </c>
      <c r="D83" s="4">
        <v>1518</v>
      </c>
      <c r="E83" s="7">
        <f t="shared" si="11"/>
        <v>2.4122040362307324E-2</v>
      </c>
      <c r="F83">
        <v>5703265.4000000022</v>
      </c>
      <c r="G83">
        <f t="shared" si="12"/>
        <v>137574.39817575089</v>
      </c>
    </row>
    <row r="84" spans="1:7" x14ac:dyDescent="0.25">
      <c r="A84" s="3" t="s">
        <v>27</v>
      </c>
      <c r="B84" s="3" t="s">
        <v>9</v>
      </c>
      <c r="C84" t="s">
        <v>121</v>
      </c>
      <c r="D84" s="4">
        <v>4054</v>
      </c>
      <c r="E84" s="7">
        <f t="shared" si="11"/>
        <v>6.4420784999205463E-2</v>
      </c>
      <c r="F84">
        <v>5703265.4000000022</v>
      </c>
      <c r="G84">
        <f t="shared" si="12"/>
        <v>367408.83412680769</v>
      </c>
    </row>
    <row r="85" spans="1:7" x14ac:dyDescent="0.25">
      <c r="A85" s="3" t="s">
        <v>27</v>
      </c>
      <c r="B85" s="3" t="s">
        <v>9</v>
      </c>
      <c r="C85" t="s">
        <v>122</v>
      </c>
      <c r="D85" s="4">
        <v>1252</v>
      </c>
      <c r="E85" s="7">
        <f t="shared" si="11"/>
        <v>1.9895121563642142E-2</v>
      </c>
      <c r="F85">
        <v>5703265.4000000022</v>
      </c>
      <c r="G85">
        <f t="shared" si="12"/>
        <v>113467.15844271416</v>
      </c>
    </row>
    <row r="86" spans="1:7" x14ac:dyDescent="0.25">
      <c r="A86" s="3" t="s">
        <v>27</v>
      </c>
      <c r="B86" s="3" t="s">
        <v>9</v>
      </c>
      <c r="C86" t="s">
        <v>123</v>
      </c>
      <c r="D86" s="4">
        <v>819</v>
      </c>
      <c r="E86" s="7">
        <f t="shared" si="11"/>
        <v>1.3014460511679643E-2</v>
      </c>
      <c r="F86">
        <v>5703265.4000000022</v>
      </c>
      <c r="G86">
        <f t="shared" si="12"/>
        <v>74224.92233592883</v>
      </c>
    </row>
    <row r="87" spans="1:7" x14ac:dyDescent="0.25">
      <c r="A87" s="3" t="s">
        <v>27</v>
      </c>
      <c r="B87" s="3" t="s">
        <v>9</v>
      </c>
      <c r="C87" t="s">
        <v>124</v>
      </c>
      <c r="D87" s="4">
        <v>193</v>
      </c>
      <c r="E87" s="7">
        <f t="shared" si="11"/>
        <v>3.066899729858573E-3</v>
      </c>
      <c r="F87">
        <v>5703265.4000000022</v>
      </c>
      <c r="G87">
        <f t="shared" si="12"/>
        <v>17491.343114571751</v>
      </c>
    </row>
    <row r="88" spans="1:7" x14ac:dyDescent="0.25">
      <c r="A88" s="3" t="s">
        <v>27</v>
      </c>
      <c r="B88" s="3" t="s">
        <v>9</v>
      </c>
      <c r="C88" t="s">
        <v>125</v>
      </c>
      <c r="D88" s="4">
        <v>38040</v>
      </c>
      <c r="E88" s="7">
        <f t="shared" si="11"/>
        <v>0.60448116955347209</v>
      </c>
      <c r="F88">
        <v>5703265.4000000022</v>
      </c>
      <c r="G88">
        <f t="shared" si="12"/>
        <v>3447516.539265852</v>
      </c>
    </row>
    <row r="89" spans="1:7" x14ac:dyDescent="0.25">
      <c r="A89" s="3" t="s">
        <v>27</v>
      </c>
      <c r="B89" s="3" t="s">
        <v>9</v>
      </c>
      <c r="C89" t="s">
        <v>126</v>
      </c>
      <c r="D89" s="4">
        <v>436</v>
      </c>
      <c r="E89" s="7">
        <f t="shared" si="11"/>
        <v>6.9283330684887972E-3</v>
      </c>
      <c r="F89">
        <v>5703265.4000000022</v>
      </c>
      <c r="G89">
        <f t="shared" si="12"/>
        <v>39514.122269188003</v>
      </c>
    </row>
    <row r="90" spans="1:7" x14ac:dyDescent="0.25">
      <c r="A90" s="3" t="s">
        <v>27</v>
      </c>
      <c r="B90" s="3" t="s">
        <v>9</v>
      </c>
      <c r="C90" t="s">
        <v>127</v>
      </c>
      <c r="D90" s="4">
        <v>366</v>
      </c>
      <c r="E90" s="7">
        <f t="shared" si="11"/>
        <v>5.8159860162084855E-3</v>
      </c>
      <c r="F90">
        <v>5703265.4000000022</v>
      </c>
      <c r="G90">
        <f t="shared" si="12"/>
        <v>33170.11181312571</v>
      </c>
    </row>
    <row r="91" spans="1:7" x14ac:dyDescent="0.25">
      <c r="A91" s="3" t="s">
        <v>27</v>
      </c>
      <c r="B91" s="3" t="s">
        <v>9</v>
      </c>
      <c r="C91" t="s">
        <v>128</v>
      </c>
      <c r="D91" s="4">
        <v>1682</v>
      </c>
      <c r="E91" s="7">
        <f t="shared" si="11"/>
        <v>2.6728110599078342E-2</v>
      </c>
      <c r="F91">
        <v>5703265.4000000022</v>
      </c>
      <c r="G91">
        <f t="shared" si="12"/>
        <v>152437.50838709684</v>
      </c>
    </row>
    <row r="92" spans="1:7" x14ac:dyDescent="0.25">
      <c r="A92" s="3" t="s">
        <v>27</v>
      </c>
      <c r="B92" s="3" t="s">
        <v>9</v>
      </c>
      <c r="C92" t="s">
        <v>129</v>
      </c>
      <c r="D92" s="4">
        <v>1026</v>
      </c>
      <c r="E92" s="7">
        <f t="shared" si="11"/>
        <v>1.630382965199428E-2</v>
      </c>
      <c r="F92">
        <v>5703265.4000000022</v>
      </c>
      <c r="G92">
        <f t="shared" si="12"/>
        <v>92985.067541713055</v>
      </c>
    </row>
    <row r="93" spans="1:7" x14ac:dyDescent="0.25">
      <c r="A93" s="3" t="s">
        <v>27</v>
      </c>
      <c r="B93" s="3" t="s">
        <v>9</v>
      </c>
      <c r="C93" t="s">
        <v>130</v>
      </c>
      <c r="D93" s="4">
        <v>301</v>
      </c>
      <c r="E93" s="7">
        <f t="shared" si="11"/>
        <v>4.7830923248053389E-3</v>
      </c>
      <c r="F93">
        <v>5703265.4000000022</v>
      </c>
      <c r="G93">
        <f t="shared" si="12"/>
        <v>27279.244961067863</v>
      </c>
    </row>
    <row r="94" spans="1:7" x14ac:dyDescent="0.25">
      <c r="A94" s="3" t="s">
        <v>27</v>
      </c>
      <c r="B94" s="3" t="s">
        <v>9</v>
      </c>
      <c r="C94" t="s">
        <v>131</v>
      </c>
      <c r="D94" s="4">
        <v>684</v>
      </c>
      <c r="E94" s="7">
        <f t="shared" si="11"/>
        <v>1.0869219767996187E-2</v>
      </c>
      <c r="F94">
        <v>5703265.4000000022</v>
      </c>
      <c r="G94">
        <f t="shared" si="12"/>
        <v>61990.045027808701</v>
      </c>
    </row>
    <row r="95" spans="1:7" x14ac:dyDescent="0.25">
      <c r="A95" s="3" t="s">
        <v>27</v>
      </c>
      <c r="B95" s="3" t="s">
        <v>9</v>
      </c>
      <c r="C95" t="s">
        <v>132</v>
      </c>
      <c r="D95" s="4">
        <v>367</v>
      </c>
      <c r="E95" s="7">
        <f t="shared" si="11"/>
        <v>5.831876688383919E-3</v>
      </c>
      <c r="F95">
        <v>5703265.4000000022</v>
      </c>
      <c r="G95">
        <f t="shared" si="12"/>
        <v>33260.740533926597</v>
      </c>
    </row>
    <row r="96" spans="1:7" x14ac:dyDescent="0.25">
      <c r="A96" s="3" t="s">
        <v>27</v>
      </c>
      <c r="B96" s="3" t="s">
        <v>9</v>
      </c>
      <c r="C96" t="s">
        <v>133</v>
      </c>
      <c r="D96" s="4">
        <v>1674</v>
      </c>
      <c r="E96" s="7">
        <f t="shared" si="11"/>
        <v>2.6600985221674877E-2</v>
      </c>
      <c r="F96">
        <v>5703265.4000000022</v>
      </c>
      <c r="G96">
        <f t="shared" si="12"/>
        <v>151712.47862068971</v>
      </c>
    </row>
    <row r="97" spans="1:10" x14ac:dyDescent="0.25">
      <c r="A97" s="3" t="s">
        <v>27</v>
      </c>
      <c r="B97" s="3" t="s">
        <v>9</v>
      </c>
      <c r="C97" t="s">
        <v>134</v>
      </c>
      <c r="D97" s="4">
        <v>1137</v>
      </c>
      <c r="E97" s="7">
        <f t="shared" si="11"/>
        <v>1.8067694263467344E-2</v>
      </c>
      <c r="F97">
        <v>5703265.4000000022</v>
      </c>
      <c r="G97">
        <f t="shared" si="12"/>
        <v>103044.85555061183</v>
      </c>
    </row>
    <row r="98" spans="1:10" x14ac:dyDescent="0.25">
      <c r="A98" s="3" t="s">
        <v>27</v>
      </c>
      <c r="B98" s="3" t="s">
        <v>9</v>
      </c>
      <c r="C98" t="s">
        <v>135</v>
      </c>
      <c r="D98" s="4">
        <v>1804</v>
      </c>
      <c r="E98" s="7">
        <f t="shared" si="11"/>
        <v>2.866677260448117E-2</v>
      </c>
      <c r="F98">
        <v>5703265.4000000022</v>
      </c>
      <c r="G98">
        <f t="shared" si="12"/>
        <v>163494.21232480541</v>
      </c>
    </row>
    <row r="99" spans="1:10" x14ac:dyDescent="0.25">
      <c r="A99" s="3" t="s">
        <v>27</v>
      </c>
      <c r="B99" s="3" t="s">
        <v>9</v>
      </c>
      <c r="C99" t="s">
        <v>136</v>
      </c>
      <c r="D99" s="4">
        <v>1233</v>
      </c>
      <c r="E99" s="7">
        <f t="shared" si="11"/>
        <v>1.9593198792308916E-2</v>
      </c>
      <c r="F99">
        <v>5703265.4000000022</v>
      </c>
      <c r="G99">
        <f t="shared" si="12"/>
        <v>111745.21274749727</v>
      </c>
    </row>
    <row r="100" spans="1:10" x14ac:dyDescent="0.25">
      <c r="A100" s="3" t="s">
        <v>27</v>
      </c>
      <c r="B100" s="3" t="s">
        <v>9</v>
      </c>
      <c r="C100" t="s">
        <v>137</v>
      </c>
      <c r="D100" s="4">
        <v>879</v>
      </c>
      <c r="E100" s="7">
        <f t="shared" si="11"/>
        <v>1.3967900842205625E-2</v>
      </c>
      <c r="F100">
        <v>5703265.4000000022</v>
      </c>
      <c r="G100">
        <f t="shared" si="12"/>
        <v>79662.64558398223</v>
      </c>
    </row>
    <row r="101" spans="1:10" x14ac:dyDescent="0.25">
      <c r="A101" s="3" t="s">
        <v>27</v>
      </c>
      <c r="B101" s="3" t="s">
        <v>9</v>
      </c>
      <c r="C101" t="s">
        <v>138</v>
      </c>
      <c r="D101" s="4">
        <v>1399</v>
      </c>
      <c r="E101" s="7">
        <f t="shared" si="11"/>
        <v>2.2231050373430795E-2</v>
      </c>
      <c r="F101">
        <v>5703265.4000000022</v>
      </c>
      <c r="G101">
        <f t="shared" si="12"/>
        <v>126789.58040044499</v>
      </c>
    </row>
    <row r="102" spans="1:10" x14ac:dyDescent="0.25">
      <c r="A102" s="3" t="s">
        <v>27</v>
      </c>
      <c r="B102" s="3" t="s">
        <v>9</v>
      </c>
      <c r="C102" t="s">
        <v>139</v>
      </c>
      <c r="D102" s="4">
        <v>117</v>
      </c>
      <c r="E102" s="7">
        <f t="shared" si="11"/>
        <v>1.8592086445256635E-3</v>
      </c>
      <c r="F102">
        <v>5703265.4000000022</v>
      </c>
      <c r="G102">
        <f t="shared" si="12"/>
        <v>10603.560333704121</v>
      </c>
    </row>
    <row r="103" spans="1:10" s="12" customFormat="1" x14ac:dyDescent="0.25">
      <c r="A103" s="11" t="s">
        <v>27</v>
      </c>
      <c r="B103" s="11" t="s">
        <v>10</v>
      </c>
      <c r="C103" s="12" t="s">
        <v>140</v>
      </c>
      <c r="D103" s="13">
        <v>1263</v>
      </c>
      <c r="E103" s="14">
        <f>+D103/SUM($D$103:$D$108)</f>
        <v>0.11937618147448015</v>
      </c>
      <c r="F103" s="12">
        <v>975457.70050000027</v>
      </c>
      <c r="G103" s="12">
        <f t="shared" si="12"/>
        <v>116446.41547556713</v>
      </c>
      <c r="H103" s="17">
        <f>+SUM(E103:E108)</f>
        <v>1</v>
      </c>
      <c r="I103" s="12">
        <f>+SUM(G103:G108)</f>
        <v>975457.70050000027</v>
      </c>
      <c r="J103" s="12" t="b">
        <f>+I103=F103</f>
        <v>1</v>
      </c>
    </row>
    <row r="104" spans="1:10" x14ac:dyDescent="0.25">
      <c r="A104" s="3" t="s">
        <v>27</v>
      </c>
      <c r="B104" s="3" t="s">
        <v>10</v>
      </c>
      <c r="C104" t="s">
        <v>141</v>
      </c>
      <c r="D104" s="4">
        <v>1594</v>
      </c>
      <c r="E104" s="7">
        <f t="shared" ref="E104:E108" si="13">+D104/SUM($D$103:$D$108)</f>
        <v>0.15066162570888469</v>
      </c>
      <c r="F104">
        <v>975457.70050000027</v>
      </c>
      <c r="G104">
        <f t="shared" si="12"/>
        <v>146964.04296758038</v>
      </c>
    </row>
    <row r="105" spans="1:10" x14ac:dyDescent="0.25">
      <c r="A105" s="3" t="s">
        <v>27</v>
      </c>
      <c r="B105" s="3" t="s">
        <v>10</v>
      </c>
      <c r="C105" t="s">
        <v>142</v>
      </c>
      <c r="D105" s="4">
        <v>3613</v>
      </c>
      <c r="E105" s="7">
        <f t="shared" si="13"/>
        <v>0.34149338374291116</v>
      </c>
      <c r="F105">
        <v>975457.70050000027</v>
      </c>
      <c r="G105">
        <f t="shared" si="12"/>
        <v>333112.35084182431</v>
      </c>
    </row>
    <row r="106" spans="1:10" x14ac:dyDescent="0.25">
      <c r="A106" s="3" t="s">
        <v>27</v>
      </c>
      <c r="B106" s="3" t="s">
        <v>10</v>
      </c>
      <c r="C106" t="s">
        <v>143</v>
      </c>
      <c r="D106" s="4">
        <v>3249</v>
      </c>
      <c r="E106" s="7">
        <f t="shared" si="13"/>
        <v>0.30708884688090737</v>
      </c>
      <c r="F106">
        <v>975457.70050000027</v>
      </c>
      <c r="G106">
        <f t="shared" si="12"/>
        <v>299552.18042764661</v>
      </c>
    </row>
    <row r="107" spans="1:10" x14ac:dyDescent="0.25">
      <c r="A107" s="3" t="s">
        <v>27</v>
      </c>
      <c r="B107" s="3" t="s">
        <v>10</v>
      </c>
      <c r="C107" t="s">
        <v>144</v>
      </c>
      <c r="D107" s="4">
        <v>419</v>
      </c>
      <c r="E107" s="7">
        <f t="shared" si="13"/>
        <v>3.9603024574669188E-2</v>
      </c>
      <c r="F107">
        <v>975457.70050000027</v>
      </c>
      <c r="G107">
        <f t="shared" si="12"/>
        <v>38631.075284451807</v>
      </c>
    </row>
    <row r="108" spans="1:10" x14ac:dyDescent="0.25">
      <c r="A108" s="3" t="s">
        <v>27</v>
      </c>
      <c r="B108" s="3" t="s">
        <v>10</v>
      </c>
      <c r="C108" t="s">
        <v>145</v>
      </c>
      <c r="D108" s="4">
        <v>442</v>
      </c>
      <c r="E108" s="7">
        <f t="shared" si="13"/>
        <v>4.177693761814745E-2</v>
      </c>
      <c r="F108">
        <v>975457.70050000027</v>
      </c>
      <c r="G108">
        <f t="shared" si="12"/>
        <v>40751.635502930068</v>
      </c>
    </row>
    <row r="109" spans="1:10" s="12" customFormat="1" x14ac:dyDescent="0.25">
      <c r="A109" s="11" t="s">
        <v>27</v>
      </c>
      <c r="B109" s="11" t="s">
        <v>11</v>
      </c>
      <c r="C109" s="12" t="s">
        <v>146</v>
      </c>
      <c r="D109" s="13">
        <v>1139</v>
      </c>
      <c r="E109" s="14">
        <f>+D109/SUM($D$109:$D$124)</f>
        <v>0.10172367598463875</v>
      </c>
      <c r="F109" s="12">
        <v>688777.33070000261</v>
      </c>
      <c r="G109" s="12">
        <f t="shared" si="12"/>
        <v>70064.962013691431</v>
      </c>
      <c r="H109" s="17">
        <f>+SUM(E109:E124)</f>
        <v>1.0000000000000002</v>
      </c>
      <c r="I109" s="12">
        <f>+SUM(G109:G124)</f>
        <v>688777.33070000273</v>
      </c>
      <c r="J109" s="12" t="b">
        <f>+I109=F109</f>
        <v>1</v>
      </c>
    </row>
    <row r="110" spans="1:10" x14ac:dyDescent="0.25">
      <c r="A110" s="3" t="s">
        <v>27</v>
      </c>
      <c r="B110" s="3" t="s">
        <v>11</v>
      </c>
      <c r="C110" t="s">
        <v>147</v>
      </c>
      <c r="D110" s="4">
        <v>891</v>
      </c>
      <c r="E110" s="7">
        <f t="shared" ref="E110:E124" si="14">+D110/SUM($D$109:$D$124)</f>
        <v>7.9574886130213449E-2</v>
      </c>
      <c r="F110">
        <v>688777.33070000261</v>
      </c>
      <c r="G110">
        <f t="shared" si="12"/>
        <v>54809.377659525082</v>
      </c>
    </row>
    <row r="111" spans="1:10" x14ac:dyDescent="0.25">
      <c r="A111" s="3" t="s">
        <v>27</v>
      </c>
      <c r="B111" s="3" t="s">
        <v>11</v>
      </c>
      <c r="C111" t="s">
        <v>148</v>
      </c>
      <c r="D111" s="4">
        <v>393</v>
      </c>
      <c r="E111" s="7">
        <f t="shared" si="14"/>
        <v>3.5098687148343306E-2</v>
      </c>
      <c r="F111">
        <v>688777.33070000261</v>
      </c>
      <c r="G111">
        <f t="shared" si="12"/>
        <v>24175.180045110388</v>
      </c>
    </row>
    <row r="112" spans="1:10" x14ac:dyDescent="0.25">
      <c r="A112" s="3" t="s">
        <v>27</v>
      </c>
      <c r="B112" s="3" t="s">
        <v>11</v>
      </c>
      <c r="C112" t="s">
        <v>149</v>
      </c>
      <c r="D112" s="4">
        <v>162</v>
      </c>
      <c r="E112" s="7">
        <f t="shared" si="14"/>
        <v>1.4468161114584264E-2</v>
      </c>
      <c r="F112">
        <v>688777.33070000261</v>
      </c>
      <c r="G112">
        <f t="shared" si="12"/>
        <v>9965.3413926409248</v>
      </c>
    </row>
    <row r="113" spans="1:10" x14ac:dyDescent="0.25">
      <c r="A113" s="3" t="s">
        <v>27</v>
      </c>
      <c r="B113" s="3" t="s">
        <v>11</v>
      </c>
      <c r="C113" t="s">
        <v>150</v>
      </c>
      <c r="D113" s="4">
        <v>620</v>
      </c>
      <c r="E113" s="7">
        <f t="shared" si="14"/>
        <v>5.5371974636063234E-2</v>
      </c>
      <c r="F113">
        <v>688777.33070000261</v>
      </c>
      <c r="G113">
        <f t="shared" si="12"/>
        <v>38138.96088541588</v>
      </c>
    </row>
    <row r="114" spans="1:10" x14ac:dyDescent="0.25">
      <c r="A114" s="3" t="s">
        <v>27</v>
      </c>
      <c r="B114" s="3" t="s">
        <v>11</v>
      </c>
      <c r="C114" t="s">
        <v>151</v>
      </c>
      <c r="D114" s="4">
        <v>466</v>
      </c>
      <c r="E114" s="7">
        <f t="shared" si="14"/>
        <v>4.16182906135572E-2</v>
      </c>
      <c r="F114">
        <v>688777.33070000261</v>
      </c>
      <c r="G114">
        <f t="shared" si="12"/>
        <v>28665.735117102904</v>
      </c>
    </row>
    <row r="115" spans="1:10" x14ac:dyDescent="0.25">
      <c r="A115" s="3" t="s">
        <v>27</v>
      </c>
      <c r="B115" s="3" t="s">
        <v>11</v>
      </c>
      <c r="C115" t="s">
        <v>11</v>
      </c>
      <c r="D115" s="4">
        <v>4209</v>
      </c>
      <c r="E115" s="7">
        <f t="shared" si="14"/>
        <v>0.37590426006966149</v>
      </c>
      <c r="F115">
        <v>688777.33070000261</v>
      </c>
      <c r="G115">
        <f t="shared" si="12"/>
        <v>258914.33284954101</v>
      </c>
    </row>
    <row r="116" spans="1:10" x14ac:dyDescent="0.25">
      <c r="A116" s="3" t="s">
        <v>27</v>
      </c>
      <c r="B116" s="3" t="s">
        <v>11</v>
      </c>
      <c r="C116" t="s">
        <v>152</v>
      </c>
      <c r="D116" s="4">
        <v>524</v>
      </c>
      <c r="E116" s="7">
        <f t="shared" si="14"/>
        <v>4.6798249531124408E-2</v>
      </c>
      <c r="F116">
        <v>688777.33070000261</v>
      </c>
      <c r="G116">
        <f t="shared" si="12"/>
        <v>32233.573393480518</v>
      </c>
    </row>
    <row r="117" spans="1:10" x14ac:dyDescent="0.25">
      <c r="A117" s="3" t="s">
        <v>27</v>
      </c>
      <c r="B117" s="3" t="s">
        <v>11</v>
      </c>
      <c r="C117" t="s">
        <v>153</v>
      </c>
      <c r="D117" s="4">
        <v>115</v>
      </c>
      <c r="E117" s="7">
        <f t="shared" si="14"/>
        <v>1.0270608198624631E-2</v>
      </c>
      <c r="F117">
        <v>688777.33070000261</v>
      </c>
      <c r="G117">
        <f t="shared" si="12"/>
        <v>7074.1620997142354</v>
      </c>
    </row>
    <row r="118" spans="1:10" x14ac:dyDescent="0.25">
      <c r="A118" s="3" t="s">
        <v>27</v>
      </c>
      <c r="B118" s="3" t="s">
        <v>11</v>
      </c>
      <c r="C118" t="s">
        <v>154</v>
      </c>
      <c r="D118" s="4">
        <v>534</v>
      </c>
      <c r="E118" s="7">
        <f t="shared" si="14"/>
        <v>4.7691345896222204E-2</v>
      </c>
      <c r="F118">
        <v>688777.33070000261</v>
      </c>
      <c r="G118">
        <f t="shared" si="12"/>
        <v>32848.71792389045</v>
      </c>
    </row>
    <row r="119" spans="1:10" x14ac:dyDescent="0.25">
      <c r="A119" s="3" t="s">
        <v>27</v>
      </c>
      <c r="B119" s="3" t="s">
        <v>11</v>
      </c>
      <c r="C119" t="s">
        <v>155</v>
      </c>
      <c r="D119" s="4">
        <v>186</v>
      </c>
      <c r="E119" s="7">
        <f t="shared" si="14"/>
        <v>1.6611592390818969E-2</v>
      </c>
      <c r="F119">
        <v>688777.33070000261</v>
      </c>
      <c r="G119">
        <f t="shared" si="12"/>
        <v>11441.688265624764</v>
      </c>
    </row>
    <row r="120" spans="1:10" x14ac:dyDescent="0.25">
      <c r="A120" s="3" t="s">
        <v>27</v>
      </c>
      <c r="B120" s="3" t="s">
        <v>11</v>
      </c>
      <c r="C120" t="s">
        <v>156</v>
      </c>
      <c r="D120" s="4">
        <v>172</v>
      </c>
      <c r="E120" s="7">
        <f t="shared" si="14"/>
        <v>1.5361257479682058E-2</v>
      </c>
      <c r="F120">
        <v>688777.33070000261</v>
      </c>
      <c r="G120">
        <f t="shared" si="12"/>
        <v>10580.485923050857</v>
      </c>
    </row>
    <row r="121" spans="1:10" x14ac:dyDescent="0.25">
      <c r="A121" s="3" t="s">
        <v>27</v>
      </c>
      <c r="B121" s="3" t="s">
        <v>11</v>
      </c>
      <c r="C121" t="s">
        <v>157</v>
      </c>
      <c r="D121" s="4">
        <v>115</v>
      </c>
      <c r="E121" s="7">
        <f t="shared" si="14"/>
        <v>1.0270608198624631E-2</v>
      </c>
      <c r="F121">
        <v>688777.33070000261</v>
      </c>
      <c r="G121">
        <f t="shared" si="12"/>
        <v>7074.1620997142354</v>
      </c>
    </row>
    <row r="122" spans="1:10" x14ac:dyDescent="0.25">
      <c r="A122" s="3" t="s">
        <v>27</v>
      </c>
      <c r="B122" s="3" t="s">
        <v>11</v>
      </c>
      <c r="C122" t="s">
        <v>158</v>
      </c>
      <c r="D122" s="4">
        <v>824</v>
      </c>
      <c r="E122" s="7">
        <f t="shared" si="14"/>
        <v>7.3591140484058223E-2</v>
      </c>
      <c r="F122">
        <v>688777.33070000261</v>
      </c>
      <c r="G122">
        <f t="shared" si="12"/>
        <v>50687.909305778521</v>
      </c>
    </row>
    <row r="123" spans="1:10" x14ac:dyDescent="0.25">
      <c r="A123" s="3" t="s">
        <v>27</v>
      </c>
      <c r="B123" s="3" t="s">
        <v>11</v>
      </c>
      <c r="C123" t="s">
        <v>159</v>
      </c>
      <c r="D123" s="4">
        <v>215</v>
      </c>
      <c r="E123" s="7">
        <f t="shared" si="14"/>
        <v>1.9201571849602573E-2</v>
      </c>
      <c r="F123">
        <v>688777.33070000261</v>
      </c>
      <c r="G123">
        <f t="shared" si="12"/>
        <v>13225.607403813572</v>
      </c>
    </row>
    <row r="124" spans="1:10" x14ac:dyDescent="0.25">
      <c r="A124" s="3" t="s">
        <v>27</v>
      </c>
      <c r="B124" s="3" t="s">
        <v>11</v>
      </c>
      <c r="C124" t="s">
        <v>160</v>
      </c>
      <c r="D124" s="4">
        <v>632</v>
      </c>
      <c r="E124" s="7">
        <f t="shared" si="14"/>
        <v>5.6443690274180586E-2</v>
      </c>
      <c r="F124">
        <v>688777.33070000261</v>
      </c>
      <c r="G124">
        <f t="shared" si="12"/>
        <v>38877.134321907804</v>
      </c>
    </row>
    <row r="125" spans="1:10" s="12" customFormat="1" x14ac:dyDescent="0.25">
      <c r="A125" s="11" t="s">
        <v>27</v>
      </c>
      <c r="B125" s="11" t="s">
        <v>12</v>
      </c>
      <c r="C125" s="12" t="s">
        <v>161</v>
      </c>
      <c r="D125" s="13">
        <v>1353</v>
      </c>
      <c r="E125" s="14">
        <f>+D125/SUM($D$125:$D$137)</f>
        <v>9.3355412957979708E-2</v>
      </c>
      <c r="F125" s="12">
        <v>932765.14979999792</v>
      </c>
      <c r="G125" s="12">
        <f t="shared" si="12"/>
        <v>87078.675752390613</v>
      </c>
      <c r="H125" s="17">
        <f>+SUM(E125:E137)</f>
        <v>0.99999999999999989</v>
      </c>
      <c r="I125" s="12">
        <f>+SUM(G125:G137)</f>
        <v>932765.14979999792</v>
      </c>
      <c r="J125" s="12" t="b">
        <f>+I125=F125</f>
        <v>1</v>
      </c>
    </row>
    <row r="126" spans="1:10" x14ac:dyDescent="0.25">
      <c r="A126" s="3" t="s">
        <v>27</v>
      </c>
      <c r="B126" s="3" t="s">
        <v>12</v>
      </c>
      <c r="C126" t="s">
        <v>162</v>
      </c>
      <c r="D126" s="4">
        <v>2819</v>
      </c>
      <c r="E126" s="7">
        <f t="shared" ref="E126:E137" si="15">+D126/SUM($D$125:$D$137)</f>
        <v>0.19450769336921273</v>
      </c>
      <c r="F126">
        <v>932765.14979999792</v>
      </c>
      <c r="G126">
        <f t="shared" si="12"/>
        <v>181429.99774278578</v>
      </c>
    </row>
    <row r="127" spans="1:10" x14ac:dyDescent="0.25">
      <c r="A127" s="3" t="s">
        <v>27</v>
      </c>
      <c r="B127" s="3" t="s">
        <v>12</v>
      </c>
      <c r="C127" t="s">
        <v>163</v>
      </c>
      <c r="D127" s="4">
        <v>1320</v>
      </c>
      <c r="E127" s="7">
        <f t="shared" si="15"/>
        <v>9.1078451666321669E-2</v>
      </c>
      <c r="F127">
        <v>932765.14979999792</v>
      </c>
      <c r="G127">
        <f t="shared" si="12"/>
        <v>84954.805612088399</v>
      </c>
    </row>
    <row r="128" spans="1:10" x14ac:dyDescent="0.25">
      <c r="A128" s="3" t="s">
        <v>27</v>
      </c>
      <c r="B128" s="3" t="s">
        <v>12</v>
      </c>
      <c r="C128" t="s">
        <v>164</v>
      </c>
      <c r="D128" s="4">
        <v>844</v>
      </c>
      <c r="E128" s="7">
        <f t="shared" si="15"/>
        <v>5.8235010004829918E-2</v>
      </c>
      <c r="F128">
        <v>932765.14979999792</v>
      </c>
      <c r="G128">
        <f t="shared" si="12"/>
        <v>54319.587830759556</v>
      </c>
    </row>
    <row r="129" spans="1:10" x14ac:dyDescent="0.25">
      <c r="A129" s="3" t="s">
        <v>27</v>
      </c>
      <c r="B129" s="3" t="s">
        <v>12</v>
      </c>
      <c r="C129" t="s">
        <v>165</v>
      </c>
      <c r="D129" s="4">
        <v>419</v>
      </c>
      <c r="E129" s="7">
        <f t="shared" si="15"/>
        <v>2.8910508521355138E-2</v>
      </c>
      <c r="F129">
        <v>932765.14979999792</v>
      </c>
      <c r="G129">
        <f t="shared" si="12"/>
        <v>26966.714811715941</v>
      </c>
    </row>
    <row r="130" spans="1:10" x14ac:dyDescent="0.25">
      <c r="A130" s="3" t="s">
        <v>27</v>
      </c>
      <c r="B130" s="3" t="s">
        <v>12</v>
      </c>
      <c r="C130" t="s">
        <v>166</v>
      </c>
      <c r="D130" s="4">
        <v>746</v>
      </c>
      <c r="E130" s="7">
        <f t="shared" si="15"/>
        <v>5.1473124956875733E-2</v>
      </c>
      <c r="F130">
        <v>932765.14979999792</v>
      </c>
      <c r="G130">
        <f t="shared" si="12"/>
        <v>48012.337111074208</v>
      </c>
    </row>
    <row r="131" spans="1:10" x14ac:dyDescent="0.25">
      <c r="A131" s="3" t="s">
        <v>27</v>
      </c>
      <c r="B131" s="3" t="s">
        <v>12</v>
      </c>
      <c r="C131" t="s">
        <v>167</v>
      </c>
      <c r="D131" s="4">
        <v>950</v>
      </c>
      <c r="E131" s="7">
        <f t="shared" si="15"/>
        <v>6.5548885668943624E-2</v>
      </c>
      <c r="F131">
        <v>932765.14979999792</v>
      </c>
      <c r="G131">
        <f t="shared" si="12"/>
        <v>61141.716160215139</v>
      </c>
    </row>
    <row r="132" spans="1:10" x14ac:dyDescent="0.25">
      <c r="A132" s="3" t="s">
        <v>27</v>
      </c>
      <c r="B132" s="3" t="s">
        <v>12</v>
      </c>
      <c r="C132" t="s">
        <v>168</v>
      </c>
      <c r="D132" s="4">
        <v>2504</v>
      </c>
      <c r="E132" s="7">
        <f t="shared" si="15"/>
        <v>0.17277306285793143</v>
      </c>
      <c r="F132">
        <v>932765.14979999792</v>
      </c>
      <c r="G132">
        <f t="shared" si="12"/>
        <v>161156.69185808286</v>
      </c>
    </row>
    <row r="133" spans="1:10" x14ac:dyDescent="0.25">
      <c r="A133" s="3" t="s">
        <v>27</v>
      </c>
      <c r="B133" s="3" t="s">
        <v>12</v>
      </c>
      <c r="C133" t="s">
        <v>169</v>
      </c>
      <c r="D133" s="4">
        <v>140</v>
      </c>
      <c r="E133" s="7">
        <f t="shared" si="15"/>
        <v>9.6598357827916929E-3</v>
      </c>
      <c r="F133">
        <v>932765.14979999792</v>
      </c>
      <c r="G133">
        <f t="shared" si="12"/>
        <v>9010.3581709790742</v>
      </c>
    </row>
    <row r="134" spans="1:10" x14ac:dyDescent="0.25">
      <c r="A134" s="3" t="s">
        <v>27</v>
      </c>
      <c r="B134" s="3" t="s">
        <v>12</v>
      </c>
      <c r="C134" t="s">
        <v>170</v>
      </c>
      <c r="D134" s="4">
        <v>635</v>
      </c>
      <c r="E134" s="7">
        <f t="shared" si="15"/>
        <v>4.3814255157662317E-2</v>
      </c>
      <c r="F134">
        <v>932765.14979999792</v>
      </c>
      <c r="G134">
        <f t="shared" si="12"/>
        <v>40868.410275512222</v>
      </c>
    </row>
    <row r="135" spans="1:10" x14ac:dyDescent="0.25">
      <c r="A135" s="3" t="s">
        <v>27</v>
      </c>
      <c r="B135" s="3" t="s">
        <v>12</v>
      </c>
      <c r="C135" t="s">
        <v>171</v>
      </c>
      <c r="D135" s="4">
        <v>862</v>
      </c>
      <c r="E135" s="7">
        <f t="shared" si="15"/>
        <v>5.9476988891188846E-2</v>
      </c>
      <c r="F135">
        <v>932765.14979999792</v>
      </c>
      <c r="G135">
        <f t="shared" si="12"/>
        <v>55478.062452742575</v>
      </c>
    </row>
    <row r="136" spans="1:10" x14ac:dyDescent="0.25">
      <c r="A136" s="3" t="s">
        <v>27</v>
      </c>
      <c r="B136" s="3" t="s">
        <v>12</v>
      </c>
      <c r="C136" t="s">
        <v>172</v>
      </c>
      <c r="D136" s="4">
        <v>965</v>
      </c>
      <c r="E136" s="7">
        <f t="shared" si="15"/>
        <v>6.6583868074242741E-2</v>
      </c>
      <c r="F136">
        <v>932765.14979999792</v>
      </c>
      <c r="G136">
        <f t="shared" si="12"/>
        <v>62107.111678534333</v>
      </c>
    </row>
    <row r="137" spans="1:10" x14ac:dyDescent="0.25">
      <c r="A137" s="3" t="s">
        <v>27</v>
      </c>
      <c r="B137" s="3" t="s">
        <v>12</v>
      </c>
      <c r="C137" t="s">
        <v>173</v>
      </c>
      <c r="D137" s="4">
        <v>936</v>
      </c>
      <c r="E137" s="7">
        <f t="shared" si="15"/>
        <v>6.458290209066446E-2</v>
      </c>
      <c r="F137">
        <v>932765.14979999792</v>
      </c>
      <c r="G137">
        <f t="shared" si="12"/>
        <v>60240.68034311723</v>
      </c>
    </row>
    <row r="138" spans="1:10" s="12" customFormat="1" x14ac:dyDescent="0.25">
      <c r="A138" s="11" t="s">
        <v>27</v>
      </c>
      <c r="B138" s="11" t="s">
        <v>13</v>
      </c>
      <c r="C138" s="12" t="s">
        <v>174</v>
      </c>
      <c r="D138" s="13">
        <v>1172</v>
      </c>
      <c r="E138" s="14">
        <f>+D138/SUM($D$138:$D$159)</f>
        <v>3.4278026381211427E-2</v>
      </c>
      <c r="F138" s="12">
        <v>2524242.7000000048</v>
      </c>
      <c r="G138" s="12">
        <f t="shared" si="12"/>
        <v>86526.057863180526</v>
      </c>
      <c r="H138" s="17">
        <f>+SUM(E138:E159)</f>
        <v>1</v>
      </c>
      <c r="I138" s="12">
        <f>+SUM(G138:G159)</f>
        <v>2524242.7000000048</v>
      </c>
      <c r="J138" s="12" t="b">
        <f>+I138=F138</f>
        <v>1</v>
      </c>
    </row>
    <row r="139" spans="1:10" x14ac:dyDescent="0.25">
      <c r="A139" s="3" t="s">
        <v>27</v>
      </c>
      <c r="B139" s="3" t="s">
        <v>13</v>
      </c>
      <c r="C139" t="s">
        <v>1</v>
      </c>
      <c r="D139" s="4">
        <v>855</v>
      </c>
      <c r="E139" s="7">
        <f t="shared" ref="E139:E159" si="16">+D139/SUM($D$138:$D$159)</f>
        <v>2.5006580679126086E-2</v>
      </c>
      <c r="F139">
        <v>2524242.7000000048</v>
      </c>
      <c r="G139">
        <f t="shared" si="12"/>
        <v>63122.678731245185</v>
      </c>
    </row>
    <row r="140" spans="1:10" x14ac:dyDescent="0.25">
      <c r="A140" s="3" t="s">
        <v>27</v>
      </c>
      <c r="B140" s="3" t="s">
        <v>13</v>
      </c>
      <c r="C140" t="s">
        <v>175</v>
      </c>
      <c r="D140" s="4">
        <v>2632</v>
      </c>
      <c r="E140" s="7">
        <f t="shared" si="16"/>
        <v>7.6979322043812692E-2</v>
      </c>
      <c r="F140">
        <v>2524242.7000000048</v>
      </c>
      <c r="G140">
        <f t="shared" si="12"/>
        <v>194314.49172004365</v>
      </c>
    </row>
    <row r="141" spans="1:10" x14ac:dyDescent="0.25">
      <c r="A141" s="3" t="s">
        <v>27</v>
      </c>
      <c r="B141" s="3" t="s">
        <v>13</v>
      </c>
      <c r="C141" t="s">
        <v>176</v>
      </c>
      <c r="D141" s="4">
        <v>2296</v>
      </c>
      <c r="E141" s="7">
        <f t="shared" si="16"/>
        <v>6.7152174548857885E-2</v>
      </c>
      <c r="F141">
        <v>2524242.7000000048</v>
      </c>
      <c r="G141">
        <f t="shared" si="12"/>
        <v>169508.38639408065</v>
      </c>
    </row>
    <row r="142" spans="1:10" x14ac:dyDescent="0.25">
      <c r="A142" s="3" t="s">
        <v>27</v>
      </c>
      <c r="B142" s="3" t="s">
        <v>13</v>
      </c>
      <c r="C142" t="s">
        <v>177</v>
      </c>
      <c r="D142" s="4">
        <v>573</v>
      </c>
      <c r="E142" s="7">
        <f t="shared" si="16"/>
        <v>1.6758796174431868E-2</v>
      </c>
      <c r="F142">
        <v>2524242.7000000048</v>
      </c>
      <c r="G142">
        <f t="shared" si="12"/>
        <v>42303.268904097647</v>
      </c>
    </row>
    <row r="143" spans="1:10" x14ac:dyDescent="0.25">
      <c r="A143" s="3" t="s">
        <v>27</v>
      </c>
      <c r="B143" s="3" t="s">
        <v>13</v>
      </c>
      <c r="C143" t="s">
        <v>178</v>
      </c>
      <c r="D143" s="4">
        <v>923</v>
      </c>
      <c r="E143" s="7">
        <f t="shared" si="16"/>
        <v>2.6995408148343131E-2</v>
      </c>
      <c r="F143">
        <v>2524242.7000000048</v>
      </c>
      <c r="G143">
        <f t="shared" si="12"/>
        <v>68142.961951975798</v>
      </c>
    </row>
    <row r="144" spans="1:10" x14ac:dyDescent="0.25">
      <c r="A144" s="3" t="s">
        <v>27</v>
      </c>
      <c r="B144" s="3" t="s">
        <v>13</v>
      </c>
      <c r="C144" t="s">
        <v>179</v>
      </c>
      <c r="D144" s="4">
        <v>937</v>
      </c>
      <c r="E144" s="7">
        <f t="shared" si="16"/>
        <v>2.7404872627299581E-2</v>
      </c>
      <c r="F144">
        <v>2524242.7000000048</v>
      </c>
      <c r="G144">
        <f t="shared" si="12"/>
        <v>69176.549673890913</v>
      </c>
    </row>
    <row r="145" spans="1:10" x14ac:dyDescent="0.25">
      <c r="A145" s="3" t="s">
        <v>27</v>
      </c>
      <c r="B145" s="3" t="s">
        <v>13</v>
      </c>
      <c r="C145" t="s">
        <v>180</v>
      </c>
      <c r="D145" s="4">
        <v>1569</v>
      </c>
      <c r="E145" s="7">
        <f t="shared" si="16"/>
        <v>4.5889269105905066E-2</v>
      </c>
      <c r="F145">
        <v>2524242.7000000048</v>
      </c>
      <c r="G145">
        <f t="shared" ref="G145:G208" si="17">+E145*F145</f>
        <v>115835.65254891661</v>
      </c>
    </row>
    <row r="146" spans="1:10" x14ac:dyDescent="0.25">
      <c r="A146" s="3" t="s">
        <v>27</v>
      </c>
      <c r="B146" s="3" t="s">
        <v>13</v>
      </c>
      <c r="C146" t="s">
        <v>181</v>
      </c>
      <c r="D146" s="4">
        <v>580</v>
      </c>
      <c r="E146" s="7">
        <f t="shared" si="16"/>
        <v>1.6963528413910092E-2</v>
      </c>
      <c r="F146">
        <v>2524242.7000000048</v>
      </c>
      <c r="G146">
        <f t="shared" si="17"/>
        <v>42820.062765055212</v>
      </c>
    </row>
    <row r="147" spans="1:10" x14ac:dyDescent="0.25">
      <c r="A147" s="3" t="s">
        <v>27</v>
      </c>
      <c r="B147" s="3" t="s">
        <v>13</v>
      </c>
      <c r="C147" t="s">
        <v>182</v>
      </c>
      <c r="D147" s="4">
        <v>2933</v>
      </c>
      <c r="E147" s="7">
        <f t="shared" si="16"/>
        <v>8.5782808341376388E-2</v>
      </c>
      <c r="F147">
        <v>2524242.7000000048</v>
      </c>
      <c r="G147">
        <f t="shared" si="17"/>
        <v>216536.62774121886</v>
      </c>
    </row>
    <row r="148" spans="1:10" x14ac:dyDescent="0.25">
      <c r="A148" s="3" t="s">
        <v>27</v>
      </c>
      <c r="B148" s="3" t="s">
        <v>13</v>
      </c>
      <c r="C148" t="s">
        <v>183</v>
      </c>
      <c r="D148" s="4">
        <v>1579</v>
      </c>
      <c r="E148" s="7">
        <f t="shared" si="16"/>
        <v>4.6181743733731101E-2</v>
      </c>
      <c r="F148">
        <v>2524242.7000000048</v>
      </c>
      <c r="G148">
        <f t="shared" si="17"/>
        <v>116573.9294931417</v>
      </c>
    </row>
    <row r="149" spans="1:10" x14ac:dyDescent="0.25">
      <c r="A149" s="3" t="s">
        <v>27</v>
      </c>
      <c r="B149" s="3" t="s">
        <v>13</v>
      </c>
      <c r="C149" t="s">
        <v>153</v>
      </c>
      <c r="D149" s="4">
        <v>457</v>
      </c>
      <c r="E149" s="7">
        <f t="shared" si="16"/>
        <v>1.336609049164985E-2</v>
      </c>
      <c r="F149">
        <v>2524242.7000000048</v>
      </c>
      <c r="G149">
        <f t="shared" si="17"/>
        <v>33739.256351086609</v>
      </c>
    </row>
    <row r="150" spans="1:10" x14ac:dyDescent="0.25">
      <c r="A150" s="3" t="s">
        <v>27</v>
      </c>
      <c r="B150" s="3" t="s">
        <v>13</v>
      </c>
      <c r="C150" t="s">
        <v>184</v>
      </c>
      <c r="D150" s="4">
        <v>1706</v>
      </c>
      <c r="E150" s="7">
        <f t="shared" si="16"/>
        <v>4.9896171507121757E-2</v>
      </c>
      <c r="F150">
        <v>2524242.7000000048</v>
      </c>
      <c r="G150">
        <f t="shared" si="17"/>
        <v>125950.04668480034</v>
      </c>
    </row>
    <row r="151" spans="1:10" x14ac:dyDescent="0.25">
      <c r="A151" s="3" t="s">
        <v>27</v>
      </c>
      <c r="B151" s="3" t="s">
        <v>13</v>
      </c>
      <c r="C151" t="s">
        <v>185</v>
      </c>
      <c r="D151" s="4">
        <v>2175</v>
      </c>
      <c r="E151" s="7">
        <f t="shared" si="16"/>
        <v>6.3613231552162849E-2</v>
      </c>
      <c r="F151">
        <v>2524242.7000000048</v>
      </c>
      <c r="G151">
        <f t="shared" si="17"/>
        <v>160575.23536895704</v>
      </c>
    </row>
    <row r="152" spans="1:10" x14ac:dyDescent="0.25">
      <c r="A152" s="3" t="s">
        <v>27</v>
      </c>
      <c r="B152" s="3" t="s">
        <v>13</v>
      </c>
      <c r="C152" t="s">
        <v>18</v>
      </c>
      <c r="D152" s="4">
        <v>1233</v>
      </c>
      <c r="E152" s="7">
        <f t="shared" si="16"/>
        <v>3.6062121610950251E-2</v>
      </c>
      <c r="F152">
        <v>2524242.7000000048</v>
      </c>
      <c r="G152">
        <f t="shared" si="17"/>
        <v>91029.547222953581</v>
      </c>
    </row>
    <row r="153" spans="1:10" x14ac:dyDescent="0.25">
      <c r="A153" s="3" t="s">
        <v>27</v>
      </c>
      <c r="B153" s="3" t="s">
        <v>13</v>
      </c>
      <c r="C153" t="s">
        <v>186</v>
      </c>
      <c r="D153" s="4">
        <v>5967</v>
      </c>
      <c r="E153" s="7">
        <f t="shared" si="16"/>
        <v>0.17451961042379574</v>
      </c>
      <c r="F153">
        <v>2524242.7000000048</v>
      </c>
      <c r="G153">
        <f t="shared" si="17"/>
        <v>440529.85261911113</v>
      </c>
    </row>
    <row r="154" spans="1:10" x14ac:dyDescent="0.25">
      <c r="A154" s="3" t="s">
        <v>27</v>
      </c>
      <c r="B154" s="3" t="s">
        <v>13</v>
      </c>
      <c r="C154" t="s">
        <v>187</v>
      </c>
      <c r="D154" s="4">
        <v>539</v>
      </c>
      <c r="E154" s="7">
        <f t="shared" si="16"/>
        <v>1.5764382439823345E-2</v>
      </c>
      <c r="F154">
        <v>2524242.7000000048</v>
      </c>
      <c r="G154">
        <f t="shared" si="17"/>
        <v>39793.127293732345</v>
      </c>
    </row>
    <row r="155" spans="1:10" x14ac:dyDescent="0.25">
      <c r="A155" s="3" t="s">
        <v>27</v>
      </c>
      <c r="B155" s="3" t="s">
        <v>13</v>
      </c>
      <c r="C155" t="s">
        <v>188</v>
      </c>
      <c r="D155" s="4">
        <v>998</v>
      </c>
      <c r="E155" s="7">
        <f t="shared" si="16"/>
        <v>2.9188967857038402E-2</v>
      </c>
      <c r="F155">
        <v>2524242.7000000048</v>
      </c>
      <c r="G155">
        <f t="shared" si="17"/>
        <v>73680.039033663968</v>
      </c>
    </row>
    <row r="156" spans="1:10" x14ac:dyDescent="0.25">
      <c r="A156" s="3" t="s">
        <v>27</v>
      </c>
      <c r="B156" s="3" t="s">
        <v>13</v>
      </c>
      <c r="C156" t="s">
        <v>189</v>
      </c>
      <c r="D156" s="4">
        <v>620</v>
      </c>
      <c r="E156" s="7">
        <f t="shared" si="16"/>
        <v>1.8133426925214236E-2</v>
      </c>
      <c r="F156">
        <v>2524242.7000000048</v>
      </c>
      <c r="G156">
        <f t="shared" si="17"/>
        <v>45773.170541955573</v>
      </c>
    </row>
    <row r="157" spans="1:10" x14ac:dyDescent="0.25">
      <c r="A157" s="3" t="s">
        <v>27</v>
      </c>
      <c r="B157" s="3" t="s">
        <v>13</v>
      </c>
      <c r="C157" t="s">
        <v>190</v>
      </c>
      <c r="D157" s="4">
        <v>1901</v>
      </c>
      <c r="E157" s="7">
        <f t="shared" si="16"/>
        <v>5.5599426749729459E-2</v>
      </c>
      <c r="F157">
        <v>2524242.7000000048</v>
      </c>
      <c r="G157">
        <f t="shared" si="17"/>
        <v>140346.44709718958</v>
      </c>
    </row>
    <row r="158" spans="1:10" x14ac:dyDescent="0.25">
      <c r="A158" s="3" t="s">
        <v>27</v>
      </c>
      <c r="B158" s="3" t="s">
        <v>13</v>
      </c>
      <c r="C158" t="s">
        <v>191</v>
      </c>
      <c r="D158" s="4">
        <v>1413</v>
      </c>
      <c r="E158" s="7">
        <f t="shared" si="16"/>
        <v>4.1326664911818897E-2</v>
      </c>
      <c r="F158">
        <v>2524242.7000000048</v>
      </c>
      <c r="G158">
        <f t="shared" si="17"/>
        <v>104318.5322190052</v>
      </c>
    </row>
    <row r="159" spans="1:10" x14ac:dyDescent="0.25">
      <c r="A159" s="3" t="s">
        <v>27</v>
      </c>
      <c r="B159" s="3" t="s">
        <v>13</v>
      </c>
      <c r="C159" t="s">
        <v>192</v>
      </c>
      <c r="D159" s="4">
        <v>1133</v>
      </c>
      <c r="E159" s="7">
        <f t="shared" si="16"/>
        <v>3.3137375332689886E-2</v>
      </c>
      <c r="F159">
        <v>2524242.7000000048</v>
      </c>
      <c r="G159">
        <f t="shared" si="17"/>
        <v>83646.777780702672</v>
      </c>
    </row>
    <row r="160" spans="1:10" s="12" customFormat="1" x14ac:dyDescent="0.25">
      <c r="A160" s="11" t="s">
        <v>27</v>
      </c>
      <c r="B160" s="11" t="s">
        <v>14</v>
      </c>
      <c r="C160" s="12" t="s">
        <v>193</v>
      </c>
      <c r="D160" s="13">
        <v>404</v>
      </c>
      <c r="E160" s="14">
        <f>+D160/SUM($D$160:$D$171)</f>
        <v>4.5763479836882649E-2</v>
      </c>
      <c r="F160" s="12">
        <v>1133997.8300000019</v>
      </c>
      <c r="G160" s="12">
        <f t="shared" si="17"/>
        <v>51895.686828273763</v>
      </c>
      <c r="H160" s="17">
        <f>+SUM(E160:E171)</f>
        <v>0.99999999999999989</v>
      </c>
      <c r="I160" s="12">
        <f>+SUM(G160:G171)</f>
        <v>1133997.8300000019</v>
      </c>
      <c r="J160" s="12" t="b">
        <f>+I160=F160</f>
        <v>1</v>
      </c>
    </row>
    <row r="161" spans="1:10" x14ac:dyDescent="0.25">
      <c r="A161" s="3" t="s">
        <v>27</v>
      </c>
      <c r="B161" s="3" t="s">
        <v>14</v>
      </c>
      <c r="C161" t="s">
        <v>194</v>
      </c>
      <c r="D161" s="4">
        <v>925</v>
      </c>
      <c r="E161" s="7">
        <f t="shared" ref="E161:E171" si="18">+D161/SUM($D$160:$D$171)</f>
        <v>0.10478024467603081</v>
      </c>
      <c r="F161">
        <v>1133997.8300000019</v>
      </c>
      <c r="G161">
        <f t="shared" si="17"/>
        <v>118820.57008948819</v>
      </c>
    </row>
    <row r="162" spans="1:10" x14ac:dyDescent="0.25">
      <c r="A162" s="3" t="s">
        <v>27</v>
      </c>
      <c r="B162" s="3" t="s">
        <v>14</v>
      </c>
      <c r="C162" t="s">
        <v>195</v>
      </c>
      <c r="D162" s="4">
        <v>551</v>
      </c>
      <c r="E162" s="7">
        <f t="shared" si="18"/>
        <v>6.2415043044857274E-2</v>
      </c>
      <c r="F162">
        <v>1133997.8300000019</v>
      </c>
      <c r="G162">
        <f t="shared" si="17"/>
        <v>70778.523372224867</v>
      </c>
    </row>
    <row r="163" spans="1:10" x14ac:dyDescent="0.25">
      <c r="A163" s="3" t="s">
        <v>27</v>
      </c>
      <c r="B163" s="3" t="s">
        <v>14</v>
      </c>
      <c r="C163" t="s">
        <v>257</v>
      </c>
      <c r="D163" s="4">
        <v>556</v>
      </c>
      <c r="E163" s="7">
        <f t="shared" si="18"/>
        <v>6.2981422745808785E-2</v>
      </c>
      <c r="F163">
        <v>1133997.8300000019</v>
      </c>
      <c r="G163">
        <f t="shared" si="17"/>
        <v>71420.796724059925</v>
      </c>
    </row>
    <row r="164" spans="1:10" x14ac:dyDescent="0.25">
      <c r="A164" s="3" t="s">
        <v>27</v>
      </c>
      <c r="B164" s="3" t="s">
        <v>14</v>
      </c>
      <c r="C164" t="s">
        <v>196</v>
      </c>
      <c r="D164" s="4">
        <v>1291</v>
      </c>
      <c r="E164" s="7">
        <f t="shared" si="18"/>
        <v>0.14623923878568193</v>
      </c>
      <c r="F164">
        <v>1133997.8300000019</v>
      </c>
      <c r="G164">
        <f t="shared" si="17"/>
        <v>165834.97944381542</v>
      </c>
    </row>
    <row r="165" spans="1:10" x14ac:dyDescent="0.25">
      <c r="A165" s="3" t="s">
        <v>27</v>
      </c>
      <c r="B165" s="3" t="s">
        <v>14</v>
      </c>
      <c r="C165" t="s">
        <v>197</v>
      </c>
      <c r="D165" s="4">
        <v>161</v>
      </c>
      <c r="E165" s="7">
        <f t="shared" si="18"/>
        <v>1.8237426370638875E-2</v>
      </c>
      <c r="F165">
        <v>1133997.8300000019</v>
      </c>
      <c r="G165">
        <f t="shared" si="17"/>
        <v>20681.201929089297</v>
      </c>
    </row>
    <row r="166" spans="1:10" x14ac:dyDescent="0.25">
      <c r="A166" s="3" t="s">
        <v>27</v>
      </c>
      <c r="B166" s="3" t="s">
        <v>14</v>
      </c>
      <c r="C166" t="s">
        <v>198</v>
      </c>
      <c r="D166" s="4">
        <v>378</v>
      </c>
      <c r="E166" s="7">
        <f t="shared" si="18"/>
        <v>4.2818305391934756E-2</v>
      </c>
      <c r="F166">
        <v>1133997.8300000019</v>
      </c>
      <c r="G166">
        <f t="shared" si="17"/>
        <v>48555.865398731396</v>
      </c>
    </row>
    <row r="167" spans="1:10" x14ac:dyDescent="0.25">
      <c r="A167" s="3" t="s">
        <v>27</v>
      </c>
      <c r="B167" s="3" t="s">
        <v>14</v>
      </c>
      <c r="C167" t="s">
        <v>199</v>
      </c>
      <c r="D167" s="4">
        <v>224</v>
      </c>
      <c r="E167" s="7">
        <f t="shared" si="18"/>
        <v>2.5373810602628003E-2</v>
      </c>
      <c r="F167">
        <v>1133997.8300000019</v>
      </c>
      <c r="G167">
        <f t="shared" si="17"/>
        <v>28773.846162211197</v>
      </c>
    </row>
    <row r="168" spans="1:10" x14ac:dyDescent="0.25">
      <c r="A168" s="3" t="s">
        <v>27</v>
      </c>
      <c r="B168" s="3" t="s">
        <v>14</v>
      </c>
      <c r="C168" t="s">
        <v>200</v>
      </c>
      <c r="D168" s="4">
        <v>486</v>
      </c>
      <c r="E168" s="7">
        <f t="shared" si="18"/>
        <v>5.5052106932487542E-2</v>
      </c>
      <c r="F168">
        <v>1133997.8300000019</v>
      </c>
      <c r="G168">
        <f t="shared" si="17"/>
        <v>62428.969798368933</v>
      </c>
    </row>
    <row r="169" spans="1:10" x14ac:dyDescent="0.25">
      <c r="A169" s="3" t="s">
        <v>27</v>
      </c>
      <c r="B169" s="3" t="s">
        <v>14</v>
      </c>
      <c r="C169" t="s">
        <v>201</v>
      </c>
      <c r="D169" s="4">
        <v>585</v>
      </c>
      <c r="E169" s="7">
        <f t="shared" si="18"/>
        <v>6.6266425011327595E-2</v>
      </c>
      <c r="F169">
        <v>1133997.8300000019</v>
      </c>
      <c r="G169">
        <f t="shared" si="17"/>
        <v>75145.982164703353</v>
      </c>
    </row>
    <row r="170" spans="1:10" x14ac:dyDescent="0.25">
      <c r="A170" s="3" t="s">
        <v>27</v>
      </c>
      <c r="B170" s="3" t="s">
        <v>14</v>
      </c>
      <c r="C170" t="s">
        <v>202</v>
      </c>
      <c r="D170" s="4">
        <v>2504</v>
      </c>
      <c r="E170" s="7">
        <f t="shared" si="18"/>
        <v>0.28364295423652014</v>
      </c>
      <c r="F170">
        <v>1133997.8300000019</v>
      </c>
      <c r="G170">
        <f t="shared" si="17"/>
        <v>321650.49459900369</v>
      </c>
    </row>
    <row r="171" spans="1:10" x14ac:dyDescent="0.25">
      <c r="A171" s="3" t="s">
        <v>27</v>
      </c>
      <c r="B171" s="3" t="s">
        <v>14</v>
      </c>
      <c r="C171" t="s">
        <v>203</v>
      </c>
      <c r="D171" s="4">
        <v>763</v>
      </c>
      <c r="E171" s="7">
        <f t="shared" si="18"/>
        <v>8.6429542365201631E-2</v>
      </c>
      <c r="F171">
        <v>1133997.8300000019</v>
      </c>
      <c r="G171">
        <f t="shared" si="17"/>
        <v>98010.91349003189</v>
      </c>
    </row>
    <row r="172" spans="1:10" s="12" customFormat="1" x14ac:dyDescent="0.25">
      <c r="A172" s="11" t="s">
        <v>27</v>
      </c>
      <c r="B172" s="11" t="s">
        <v>15</v>
      </c>
      <c r="C172" s="12" t="s">
        <v>204</v>
      </c>
      <c r="D172" s="13">
        <v>1395</v>
      </c>
      <c r="E172" s="14">
        <f>+D172/SUM($D$172:$D$176)</f>
        <v>0.29245283018867924</v>
      </c>
      <c r="F172" s="12">
        <v>310831.6698999987</v>
      </c>
      <c r="G172" s="12">
        <f t="shared" si="17"/>
        <v>90903.601574527915</v>
      </c>
      <c r="H172" s="17">
        <f>+SUM(E172:E176)</f>
        <v>1</v>
      </c>
      <c r="I172" s="12">
        <f>+SUM(G172:G176)</f>
        <v>310831.6698999987</v>
      </c>
      <c r="J172" s="12" t="b">
        <f>+I172=F172</f>
        <v>1</v>
      </c>
    </row>
    <row r="173" spans="1:10" x14ac:dyDescent="0.25">
      <c r="A173" s="3" t="s">
        <v>27</v>
      </c>
      <c r="B173" s="3" t="s">
        <v>15</v>
      </c>
      <c r="C173" t="s">
        <v>205</v>
      </c>
      <c r="D173" s="4">
        <v>150</v>
      </c>
      <c r="E173" s="7">
        <f t="shared" ref="E173:E176" si="19">+D173/SUM($D$172:$D$176)</f>
        <v>3.1446540880503145E-2</v>
      </c>
      <c r="F173">
        <v>310831.6698999987</v>
      </c>
      <c r="G173">
        <f t="shared" si="17"/>
        <v>9774.5808144653674</v>
      </c>
    </row>
    <row r="174" spans="1:10" x14ac:dyDescent="0.25">
      <c r="A174" s="3" t="s">
        <v>27</v>
      </c>
      <c r="B174" s="3" t="s">
        <v>15</v>
      </c>
      <c r="C174" t="s">
        <v>206</v>
      </c>
      <c r="D174" s="4">
        <v>260</v>
      </c>
      <c r="E174" s="7">
        <f t="shared" si="19"/>
        <v>5.450733752620545E-2</v>
      </c>
      <c r="F174">
        <v>310831.6698999987</v>
      </c>
      <c r="G174">
        <f t="shared" si="17"/>
        <v>16942.606745073303</v>
      </c>
    </row>
    <row r="175" spans="1:10" x14ac:dyDescent="0.25">
      <c r="A175" s="3" t="s">
        <v>27</v>
      </c>
      <c r="B175" s="3" t="s">
        <v>15</v>
      </c>
      <c r="C175" t="s">
        <v>207</v>
      </c>
      <c r="D175" s="4">
        <v>143</v>
      </c>
      <c r="E175" s="7">
        <f t="shared" si="19"/>
        <v>2.9979035639412999E-2</v>
      </c>
      <c r="F175">
        <v>310831.6698999987</v>
      </c>
      <c r="G175">
        <f t="shared" si="17"/>
        <v>9318.4337097903172</v>
      </c>
    </row>
    <row r="176" spans="1:10" x14ac:dyDescent="0.25">
      <c r="A176" s="3" t="s">
        <v>27</v>
      </c>
      <c r="B176" s="3" t="s">
        <v>15</v>
      </c>
      <c r="C176" t="s">
        <v>208</v>
      </c>
      <c r="D176" s="4">
        <v>2822</v>
      </c>
      <c r="E176" s="7">
        <f t="shared" si="19"/>
        <v>0.59161425576519922</v>
      </c>
      <c r="F176">
        <v>310831.6698999987</v>
      </c>
      <c r="G176">
        <f t="shared" si="17"/>
        <v>183892.4470561418</v>
      </c>
    </row>
    <row r="177" spans="1:10" s="12" customFormat="1" x14ac:dyDescent="0.25">
      <c r="A177" s="11" t="s">
        <v>27</v>
      </c>
      <c r="B177" s="11" t="s">
        <v>16</v>
      </c>
      <c r="C177" s="12" t="s">
        <v>209</v>
      </c>
      <c r="D177" s="13">
        <v>366</v>
      </c>
      <c r="E177" s="14">
        <f>+D177/SUM($D$177:$D$180)</f>
        <v>7.5870646766169156E-2</v>
      </c>
      <c r="F177" s="12">
        <v>308010.00010000076</v>
      </c>
      <c r="G177" s="12">
        <f t="shared" si="17"/>
        <v>23368.917918034884</v>
      </c>
      <c r="H177" s="17">
        <f>+SUM(E177:E180)</f>
        <v>1</v>
      </c>
      <c r="I177" s="12">
        <f>+SUM(G177:G180)</f>
        <v>308010.00010000076</v>
      </c>
      <c r="J177" s="12" t="b">
        <f>+I177=F177</f>
        <v>1</v>
      </c>
    </row>
    <row r="178" spans="1:10" x14ac:dyDescent="0.25">
      <c r="A178" s="3" t="s">
        <v>27</v>
      </c>
      <c r="B178" s="3" t="s">
        <v>16</v>
      </c>
      <c r="C178" t="s">
        <v>210</v>
      </c>
      <c r="D178" s="4">
        <v>1311</v>
      </c>
      <c r="E178" s="7">
        <f t="shared" ref="E178:E180" si="20">+D178/SUM($D$177:$D$180)</f>
        <v>0.27176616915422885</v>
      </c>
      <c r="F178">
        <v>308010.00010000076</v>
      </c>
      <c r="G178">
        <f t="shared" si="17"/>
        <v>83706.697788370846</v>
      </c>
    </row>
    <row r="179" spans="1:10" x14ac:dyDescent="0.25">
      <c r="A179" s="3" t="s">
        <v>27</v>
      </c>
      <c r="B179" s="3" t="s">
        <v>16</v>
      </c>
      <c r="C179" t="s">
        <v>211</v>
      </c>
      <c r="D179" s="4">
        <v>1493</v>
      </c>
      <c r="E179" s="7">
        <f t="shared" si="20"/>
        <v>0.30949419568822556</v>
      </c>
      <c r="F179">
        <v>308010.00010000076</v>
      </c>
      <c r="G179">
        <f t="shared" si="17"/>
        <v>95327.307244880009</v>
      </c>
    </row>
    <row r="180" spans="1:10" x14ac:dyDescent="0.25">
      <c r="A180" s="3" t="s">
        <v>27</v>
      </c>
      <c r="B180" s="3" t="s">
        <v>16</v>
      </c>
      <c r="C180" t="s">
        <v>16</v>
      </c>
      <c r="D180" s="4">
        <v>1654</v>
      </c>
      <c r="E180" s="7">
        <f t="shared" si="20"/>
        <v>0.34286898839137647</v>
      </c>
      <c r="F180">
        <v>308010.00010000076</v>
      </c>
      <c r="G180">
        <f t="shared" si="17"/>
        <v>105607.07714871503</v>
      </c>
    </row>
    <row r="181" spans="1:10" s="12" customFormat="1" x14ac:dyDescent="0.25">
      <c r="A181" s="11" t="s">
        <v>27</v>
      </c>
      <c r="B181" s="11" t="s">
        <v>17</v>
      </c>
      <c r="C181" s="12" t="s">
        <v>212</v>
      </c>
      <c r="D181" s="13">
        <v>619</v>
      </c>
      <c r="E181" s="14">
        <f>+D181/SUM($D$181:$D$184)</f>
        <v>0.2034845496383958</v>
      </c>
      <c r="F181" s="12">
        <v>459469.57979999948</v>
      </c>
      <c r="G181" s="12">
        <f t="shared" si="17"/>
        <v>93494.960518145846</v>
      </c>
      <c r="H181" s="17">
        <f>+SUM(E181:E184)</f>
        <v>1</v>
      </c>
      <c r="I181" s="12">
        <f>+SUM(G181:G184)</f>
        <v>459469.57979999948</v>
      </c>
      <c r="J181" s="12" t="b">
        <f>+I181=F181</f>
        <v>1</v>
      </c>
    </row>
    <row r="182" spans="1:10" x14ac:dyDescent="0.25">
      <c r="A182" s="3" t="s">
        <v>27</v>
      </c>
      <c r="B182" s="3" t="s">
        <v>17</v>
      </c>
      <c r="C182" t="s">
        <v>213</v>
      </c>
      <c r="D182" s="4">
        <v>351</v>
      </c>
      <c r="E182" s="7">
        <f t="shared" ref="E182:E184" si="21">+D182/SUM($D$181:$D$184)</f>
        <v>0.11538461538461539</v>
      </c>
      <c r="F182">
        <v>459469.57979999948</v>
      </c>
      <c r="G182">
        <f t="shared" si="17"/>
        <v>53015.720746153791</v>
      </c>
    </row>
    <row r="183" spans="1:10" x14ac:dyDescent="0.25">
      <c r="A183" s="3" t="s">
        <v>27</v>
      </c>
      <c r="B183" s="3" t="s">
        <v>17</v>
      </c>
      <c r="C183" t="s">
        <v>17</v>
      </c>
      <c r="D183" s="4">
        <v>1868</v>
      </c>
      <c r="E183" s="7">
        <f t="shared" si="21"/>
        <v>0.61406969099276787</v>
      </c>
      <c r="F183">
        <v>459469.57979999948</v>
      </c>
      <c r="G183">
        <f t="shared" si="17"/>
        <v>282146.34288836259</v>
      </c>
    </row>
    <row r="184" spans="1:10" x14ac:dyDescent="0.25">
      <c r="A184" s="3" t="s">
        <v>27</v>
      </c>
      <c r="B184" s="3" t="s">
        <v>17</v>
      </c>
      <c r="C184" t="s">
        <v>214</v>
      </c>
      <c r="D184" s="4">
        <v>204</v>
      </c>
      <c r="E184" s="7">
        <f t="shared" si="21"/>
        <v>6.7061143984220903E-2</v>
      </c>
      <c r="F184">
        <v>459469.57979999948</v>
      </c>
      <c r="G184">
        <f t="shared" si="17"/>
        <v>30812.555647337242</v>
      </c>
    </row>
    <row r="185" spans="1:10" s="12" customFormat="1" x14ac:dyDescent="0.25">
      <c r="A185" s="11" t="s">
        <v>27</v>
      </c>
      <c r="B185" s="11" t="s">
        <v>18</v>
      </c>
      <c r="C185" s="12" t="s">
        <v>215</v>
      </c>
      <c r="D185" s="13">
        <v>1689</v>
      </c>
      <c r="E185" s="14">
        <f>+D185/SUM($D$185:$D$192)</f>
        <v>8.9350896683066186E-2</v>
      </c>
      <c r="F185" s="12">
        <v>1647870.4285999909</v>
      </c>
      <c r="G185" s="12">
        <f t="shared" si="17"/>
        <v>147238.70041291779</v>
      </c>
      <c r="H185" s="17">
        <f>+SUM(E185:E192)</f>
        <v>1</v>
      </c>
      <c r="I185" s="12">
        <f>+SUM(G185:G192)</f>
        <v>1647870.4285999911</v>
      </c>
      <c r="J185" s="12" t="b">
        <f>+I185=F185</f>
        <v>1</v>
      </c>
    </row>
    <row r="186" spans="1:10" x14ac:dyDescent="0.25">
      <c r="A186" s="3" t="s">
        <v>27</v>
      </c>
      <c r="B186" s="3" t="s">
        <v>18</v>
      </c>
      <c r="C186" t="s">
        <v>216</v>
      </c>
      <c r="D186" s="4">
        <v>14322</v>
      </c>
      <c r="E186" s="7">
        <f t="shared" ref="E186:E192" si="22">+D186/SUM($D$185:$D$192)</f>
        <v>0.75765751468020948</v>
      </c>
      <c r="F186">
        <v>1647870.4285999909</v>
      </c>
      <c r="G186">
        <f t="shared" si="17"/>
        <v>1248521.4134480807</v>
      </c>
    </row>
    <row r="187" spans="1:10" x14ac:dyDescent="0.25">
      <c r="A187" s="3" t="s">
        <v>27</v>
      </c>
      <c r="B187" s="3" t="s">
        <v>18</v>
      </c>
      <c r="C187" t="s">
        <v>217</v>
      </c>
      <c r="D187" s="4">
        <v>777</v>
      </c>
      <c r="E187" s="7">
        <f t="shared" si="22"/>
        <v>4.1104586573559754E-2</v>
      </c>
      <c r="F187">
        <v>1647870.4285999909</v>
      </c>
      <c r="G187">
        <f t="shared" si="17"/>
        <v>67735.032694397349</v>
      </c>
    </row>
    <row r="188" spans="1:10" x14ac:dyDescent="0.25">
      <c r="A188" s="3" t="s">
        <v>27</v>
      </c>
      <c r="B188" s="3" t="s">
        <v>18</v>
      </c>
      <c r="C188" t="s">
        <v>218</v>
      </c>
      <c r="D188" s="4">
        <v>749</v>
      </c>
      <c r="E188" s="7">
        <f t="shared" si="22"/>
        <v>3.9623340210548592E-2</v>
      </c>
      <c r="F188">
        <v>1647870.4285999909</v>
      </c>
      <c r="G188">
        <f t="shared" si="17"/>
        <v>65294.130615319962</v>
      </c>
    </row>
    <row r="189" spans="1:10" x14ac:dyDescent="0.25">
      <c r="A189" s="3" t="s">
        <v>27</v>
      </c>
      <c r="B189" s="3" t="s">
        <v>18</v>
      </c>
      <c r="C189" t="s">
        <v>219</v>
      </c>
      <c r="D189" s="4">
        <v>405</v>
      </c>
      <c r="E189" s="7">
        <f t="shared" si="22"/>
        <v>2.1425170607840025E-2</v>
      </c>
      <c r="F189">
        <v>1647870.4285999909</v>
      </c>
      <c r="G189">
        <f t="shared" si="17"/>
        <v>35305.905072369271</v>
      </c>
    </row>
    <row r="190" spans="1:10" x14ac:dyDescent="0.25">
      <c r="A190" s="3" t="s">
        <v>27</v>
      </c>
      <c r="B190" s="3" t="s">
        <v>18</v>
      </c>
      <c r="C190" t="s">
        <v>220</v>
      </c>
      <c r="D190" s="4">
        <v>452</v>
      </c>
      <c r="E190" s="7">
        <f t="shared" si="22"/>
        <v>2.3911548431465906E-2</v>
      </c>
      <c r="F190">
        <v>1647870.4285999909</v>
      </c>
      <c r="G190">
        <f t="shared" si="17"/>
        <v>39403.133562249161</v>
      </c>
    </row>
    <row r="191" spans="1:10" x14ac:dyDescent="0.25">
      <c r="A191" s="3" t="s">
        <v>27</v>
      </c>
      <c r="B191" s="3" t="s">
        <v>18</v>
      </c>
      <c r="C191" t="s">
        <v>258</v>
      </c>
      <c r="D191" s="4">
        <v>222</v>
      </c>
      <c r="E191" s="7">
        <f t="shared" si="22"/>
        <v>1.1744167592445643E-2</v>
      </c>
      <c r="F191">
        <v>1647870.4285999909</v>
      </c>
      <c r="G191">
        <f t="shared" si="17"/>
        <v>19352.866484113525</v>
      </c>
    </row>
    <row r="192" spans="1:10" x14ac:dyDescent="0.25">
      <c r="A192" s="3" t="s">
        <v>27</v>
      </c>
      <c r="B192" s="3" t="s">
        <v>18</v>
      </c>
      <c r="C192" t="s">
        <v>221</v>
      </c>
      <c r="D192" s="4">
        <v>287</v>
      </c>
      <c r="E192" s="7">
        <f t="shared" si="22"/>
        <v>1.5182775220864413E-2</v>
      </c>
      <c r="F192">
        <v>1647870.4285999909</v>
      </c>
      <c r="G192">
        <f t="shared" si="17"/>
        <v>25019.24631054316</v>
      </c>
    </row>
    <row r="193" spans="1:10" s="12" customFormat="1" x14ac:dyDescent="0.25">
      <c r="A193" s="11" t="s">
        <v>27</v>
      </c>
      <c r="B193" s="11" t="s">
        <v>19</v>
      </c>
      <c r="C193" s="12" t="s">
        <v>222</v>
      </c>
      <c r="D193" s="13">
        <v>3102</v>
      </c>
      <c r="E193" s="14">
        <f>+D193/SUM($D$193:$D$195)</f>
        <v>0.27813144445440691</v>
      </c>
      <c r="F193" s="12">
        <v>850535.00979999918</v>
      </c>
      <c r="G193" s="12">
        <f t="shared" si="17"/>
        <v>236560.53083471692</v>
      </c>
      <c r="H193" s="17">
        <f>+SUM(E193:E195)</f>
        <v>1</v>
      </c>
      <c r="I193" s="12">
        <f>+SUM(G193:G195)</f>
        <v>850535.00979999918</v>
      </c>
      <c r="J193" s="12" t="b">
        <f>+I193=F193</f>
        <v>1</v>
      </c>
    </row>
    <row r="194" spans="1:10" x14ac:dyDescent="0.25">
      <c r="A194" s="3" t="s">
        <v>27</v>
      </c>
      <c r="B194" s="3" t="s">
        <v>19</v>
      </c>
      <c r="C194" t="s">
        <v>223</v>
      </c>
      <c r="D194" s="4">
        <v>2318</v>
      </c>
      <c r="E194" s="7">
        <f t="shared" ref="E194:E195" si="23">+D194/SUM($D$193:$D$195)</f>
        <v>0.20783645655877342</v>
      </c>
      <c r="F194">
        <v>850535.00979999918</v>
      </c>
      <c r="G194">
        <f t="shared" si="17"/>
        <v>176772.18261601345</v>
      </c>
    </row>
    <row r="195" spans="1:10" x14ac:dyDescent="0.25">
      <c r="A195" s="3" t="s">
        <v>27</v>
      </c>
      <c r="B195" s="3" t="s">
        <v>19</v>
      </c>
      <c r="C195" t="s">
        <v>19</v>
      </c>
      <c r="D195" s="4">
        <v>5733</v>
      </c>
      <c r="E195" s="7">
        <f t="shared" si="23"/>
        <v>0.51403209898681967</v>
      </c>
      <c r="F195">
        <v>850535.00979999918</v>
      </c>
      <c r="G195">
        <f t="shared" si="17"/>
        <v>437202.29634926881</v>
      </c>
    </row>
    <row r="196" spans="1:10" s="12" customFormat="1" x14ac:dyDescent="0.25">
      <c r="A196" s="11" t="s">
        <v>27</v>
      </c>
      <c r="B196" s="11" t="s">
        <v>20</v>
      </c>
      <c r="C196" s="12" t="s">
        <v>224</v>
      </c>
      <c r="D196" s="13">
        <v>546</v>
      </c>
      <c r="E196" s="14">
        <f>+D196/SUM($D$196:$D$197)</f>
        <v>0.12111801242236025</v>
      </c>
      <c r="F196" s="12">
        <v>584243.6799999997</v>
      </c>
      <c r="G196" s="12">
        <f t="shared" si="17"/>
        <v>70762.433291925438</v>
      </c>
      <c r="H196" s="17">
        <f>+SUM(E196:E197)</f>
        <v>1</v>
      </c>
      <c r="I196" s="12">
        <f>+SUM(G196:G197)</f>
        <v>584243.6799999997</v>
      </c>
      <c r="J196" s="12" t="b">
        <f>+I196=F196</f>
        <v>1</v>
      </c>
    </row>
    <row r="197" spans="1:10" x14ac:dyDescent="0.25">
      <c r="A197" s="3" t="s">
        <v>27</v>
      </c>
      <c r="B197" s="3" t="s">
        <v>20</v>
      </c>
      <c r="C197" t="s">
        <v>225</v>
      </c>
      <c r="D197" s="4">
        <v>3962</v>
      </c>
      <c r="E197" s="7">
        <f>+D197/SUM($D$196:$D$197)</f>
        <v>0.8788819875776398</v>
      </c>
      <c r="F197">
        <v>584243.6799999997</v>
      </c>
      <c r="G197">
        <f t="shared" si="17"/>
        <v>513481.24670807429</v>
      </c>
    </row>
    <row r="198" spans="1:10" s="12" customFormat="1" x14ac:dyDescent="0.25">
      <c r="A198" s="11" t="s">
        <v>27</v>
      </c>
      <c r="B198" s="11" t="s">
        <v>21</v>
      </c>
      <c r="C198" s="12" t="s">
        <v>226</v>
      </c>
      <c r="D198" s="13">
        <v>330</v>
      </c>
      <c r="E198" s="14">
        <f>+D198/SUM($D$198:$D$204)</f>
        <v>7.3089700996677748E-2</v>
      </c>
      <c r="F198" s="12">
        <v>245019.57000000076</v>
      </c>
      <c r="G198" s="12">
        <f t="shared" si="17"/>
        <v>17908.407109634609</v>
      </c>
      <c r="H198" s="17">
        <f>+SUM(E198:E204)</f>
        <v>1</v>
      </c>
      <c r="I198" s="12">
        <f>+SUM(G198:G204)</f>
        <v>245019.57000000076</v>
      </c>
      <c r="J198" s="12" t="b">
        <f>+I198=F198</f>
        <v>1</v>
      </c>
    </row>
    <row r="199" spans="1:10" x14ac:dyDescent="0.25">
      <c r="A199" s="3" t="s">
        <v>27</v>
      </c>
      <c r="B199" s="3" t="s">
        <v>21</v>
      </c>
      <c r="C199" t="s">
        <v>227</v>
      </c>
      <c r="D199" s="4">
        <v>186</v>
      </c>
      <c r="E199" s="7">
        <f t="shared" ref="E199:E204" si="24">+D199/SUM($D$198:$D$204)</f>
        <v>4.1196013289036548E-2</v>
      </c>
      <c r="F199">
        <v>245019.57000000076</v>
      </c>
      <c r="G199">
        <f t="shared" si="17"/>
        <v>10093.829461794052</v>
      </c>
    </row>
    <row r="200" spans="1:10" x14ac:dyDescent="0.25">
      <c r="A200" s="3" t="s">
        <v>27</v>
      </c>
      <c r="B200" s="3" t="s">
        <v>21</v>
      </c>
      <c r="C200" t="s">
        <v>228</v>
      </c>
      <c r="D200" s="4">
        <v>300</v>
      </c>
      <c r="E200" s="7">
        <f t="shared" si="24"/>
        <v>6.6445182724252497E-2</v>
      </c>
      <c r="F200">
        <v>245019.57000000076</v>
      </c>
      <c r="G200">
        <f t="shared" si="17"/>
        <v>16280.370099667825</v>
      </c>
    </row>
    <row r="201" spans="1:10" x14ac:dyDescent="0.25">
      <c r="A201" s="3" t="s">
        <v>27</v>
      </c>
      <c r="B201" s="3" t="s">
        <v>21</v>
      </c>
      <c r="C201" t="s">
        <v>229</v>
      </c>
      <c r="D201" s="4">
        <v>2374</v>
      </c>
      <c r="E201" s="7">
        <f t="shared" si="24"/>
        <v>0.52580287929125136</v>
      </c>
      <c r="F201">
        <v>245019.57000000076</v>
      </c>
      <c r="G201">
        <f t="shared" si="17"/>
        <v>128831.99538870472</v>
      </c>
    </row>
    <row r="202" spans="1:10" x14ac:dyDescent="0.25">
      <c r="A202" s="3" t="s">
        <v>27</v>
      </c>
      <c r="B202" s="3" t="s">
        <v>21</v>
      </c>
      <c r="C202" t="s">
        <v>230</v>
      </c>
      <c r="D202" s="4">
        <v>524</v>
      </c>
      <c r="E202" s="7">
        <f t="shared" si="24"/>
        <v>0.11605758582502769</v>
      </c>
      <c r="F202">
        <v>245019.57000000076</v>
      </c>
      <c r="G202">
        <f t="shared" si="17"/>
        <v>28436.379774086468</v>
      </c>
    </row>
    <row r="203" spans="1:10" x14ac:dyDescent="0.25">
      <c r="A203" s="3" t="s">
        <v>27</v>
      </c>
      <c r="B203" s="3" t="s">
        <v>21</v>
      </c>
      <c r="C203" t="s">
        <v>231</v>
      </c>
      <c r="D203" s="4">
        <v>681</v>
      </c>
      <c r="E203" s="7">
        <f t="shared" si="24"/>
        <v>0.15083056478405316</v>
      </c>
      <c r="F203">
        <v>245019.57000000076</v>
      </c>
      <c r="G203">
        <f t="shared" si="17"/>
        <v>36956.440126245965</v>
      </c>
    </row>
    <row r="204" spans="1:10" x14ac:dyDescent="0.25">
      <c r="A204" s="3" t="s">
        <v>27</v>
      </c>
      <c r="B204" s="3" t="s">
        <v>21</v>
      </c>
      <c r="C204" t="s">
        <v>21</v>
      </c>
      <c r="D204" s="4">
        <v>120</v>
      </c>
      <c r="E204" s="7">
        <f t="shared" si="24"/>
        <v>2.6578073089700997E-2</v>
      </c>
      <c r="F204">
        <v>245019.57000000076</v>
      </c>
      <c r="G204">
        <f t="shared" si="17"/>
        <v>6512.1480398671301</v>
      </c>
    </row>
    <row r="205" spans="1:10" s="12" customFormat="1" x14ac:dyDescent="0.25">
      <c r="A205" s="11" t="s">
        <v>27</v>
      </c>
      <c r="B205" s="11" t="s">
        <v>22</v>
      </c>
      <c r="C205" s="12" t="s">
        <v>232</v>
      </c>
      <c r="D205" s="13">
        <v>4610</v>
      </c>
      <c r="E205" s="14">
        <f>+D205/SUM($D$205:$D$213)</f>
        <v>0.59117722492946911</v>
      </c>
      <c r="F205" s="12">
        <v>433468.36999999639</v>
      </c>
      <c r="G205" s="12">
        <f t="shared" si="17"/>
        <v>256256.62807129821</v>
      </c>
      <c r="H205" s="17">
        <f>+SUM(E205:E213)</f>
        <v>1</v>
      </c>
      <c r="I205" s="12">
        <f>+SUM(G205:G213)</f>
        <v>433468.36999999633</v>
      </c>
      <c r="J205" s="12" t="b">
        <f>+I205=F205</f>
        <v>1</v>
      </c>
    </row>
    <row r="206" spans="1:10" x14ac:dyDescent="0.25">
      <c r="A206" s="3" t="s">
        <v>27</v>
      </c>
      <c r="B206" s="3" t="s">
        <v>22</v>
      </c>
      <c r="C206" t="s">
        <v>259</v>
      </c>
      <c r="D206" s="4">
        <v>152</v>
      </c>
      <c r="E206" s="7">
        <f t="shared" ref="E206:E213" si="25">+D206/SUM($D$205:$D$213)</f>
        <v>1.9492177481405488E-2</v>
      </c>
      <c r="F206">
        <v>433468.36999999639</v>
      </c>
      <c r="G206">
        <f t="shared" si="17"/>
        <v>8449.2424006154724</v>
      </c>
    </row>
    <row r="207" spans="1:10" x14ac:dyDescent="0.25">
      <c r="A207" s="3" t="s">
        <v>27</v>
      </c>
      <c r="B207" s="3" t="s">
        <v>22</v>
      </c>
      <c r="C207" t="s">
        <v>233</v>
      </c>
      <c r="D207" s="4">
        <v>176</v>
      </c>
      <c r="E207" s="7">
        <f t="shared" si="25"/>
        <v>2.2569889715311618E-2</v>
      </c>
      <c r="F207">
        <v>433468.36999999639</v>
      </c>
      <c r="G207">
        <f t="shared" si="17"/>
        <v>9783.3333059758097</v>
      </c>
    </row>
    <row r="208" spans="1:10" x14ac:dyDescent="0.25">
      <c r="A208" s="3" t="s">
        <v>27</v>
      </c>
      <c r="B208" s="3" t="s">
        <v>22</v>
      </c>
      <c r="C208" t="s">
        <v>234</v>
      </c>
      <c r="D208" s="4">
        <v>125</v>
      </c>
      <c r="E208" s="7">
        <f t="shared" si="25"/>
        <v>1.6029751218261092E-2</v>
      </c>
      <c r="F208">
        <v>433468.36999999639</v>
      </c>
      <c r="G208">
        <f t="shared" si="17"/>
        <v>6948.3901320850919</v>
      </c>
    </row>
    <row r="209" spans="1:10" x14ac:dyDescent="0.25">
      <c r="A209" s="3" t="s">
        <v>27</v>
      </c>
      <c r="B209" s="3" t="s">
        <v>22</v>
      </c>
      <c r="C209" t="s">
        <v>235</v>
      </c>
      <c r="D209" s="4">
        <v>280</v>
      </c>
      <c r="E209" s="7">
        <f t="shared" si="25"/>
        <v>3.5906642728904849E-2</v>
      </c>
      <c r="F209">
        <v>433468.36999999639</v>
      </c>
      <c r="G209">
        <f t="shared" ref="G209:G272" si="26">+E209*F209</f>
        <v>15564.393895870608</v>
      </c>
    </row>
    <row r="210" spans="1:10" x14ac:dyDescent="0.25">
      <c r="A210" s="3" t="s">
        <v>27</v>
      </c>
      <c r="B210" s="3" t="s">
        <v>22</v>
      </c>
      <c r="C210" t="s">
        <v>236</v>
      </c>
      <c r="D210" s="4">
        <v>411</v>
      </c>
      <c r="E210" s="7">
        <f t="shared" si="25"/>
        <v>5.2705822005642472E-2</v>
      </c>
      <c r="F210">
        <v>433468.36999999639</v>
      </c>
      <c r="G210">
        <f t="shared" si="26"/>
        <v>22846.306754295783</v>
      </c>
    </row>
    <row r="211" spans="1:10" x14ac:dyDescent="0.25">
      <c r="A211" s="3" t="s">
        <v>27</v>
      </c>
      <c r="B211" s="3" t="s">
        <v>22</v>
      </c>
      <c r="C211" t="s">
        <v>237</v>
      </c>
      <c r="D211" s="4">
        <v>1161</v>
      </c>
      <c r="E211" s="7">
        <f t="shared" si="25"/>
        <v>0.14888432931520904</v>
      </c>
      <c r="F211">
        <v>433468.36999999639</v>
      </c>
      <c r="G211">
        <f t="shared" si="26"/>
        <v>64536.647546806336</v>
      </c>
    </row>
    <row r="212" spans="1:10" x14ac:dyDescent="0.25">
      <c r="A212" s="3" t="s">
        <v>27</v>
      </c>
      <c r="B212" s="3" t="s">
        <v>22</v>
      </c>
      <c r="C212" t="s">
        <v>238</v>
      </c>
      <c r="D212" s="4">
        <v>545</v>
      </c>
      <c r="E212" s="7">
        <f t="shared" si="25"/>
        <v>6.9889715311618361E-2</v>
      </c>
      <c r="F212">
        <v>433468.36999999639</v>
      </c>
      <c r="G212">
        <f t="shared" si="26"/>
        <v>30294.980975891001</v>
      </c>
    </row>
    <row r="213" spans="1:10" x14ac:dyDescent="0.25">
      <c r="A213" s="3" t="s">
        <v>27</v>
      </c>
      <c r="B213" s="3" t="s">
        <v>22</v>
      </c>
      <c r="C213" t="s">
        <v>239</v>
      </c>
      <c r="D213" s="4">
        <v>338</v>
      </c>
      <c r="E213" s="7">
        <f t="shared" si="25"/>
        <v>4.3344447294177996E-2</v>
      </c>
      <c r="F213">
        <v>433468.36999999639</v>
      </c>
      <c r="G213">
        <f t="shared" si="26"/>
        <v>18788.446917158089</v>
      </c>
    </row>
    <row r="214" spans="1:10" s="12" customFormat="1" x14ac:dyDescent="0.25">
      <c r="A214" s="11" t="s">
        <v>27</v>
      </c>
      <c r="B214" s="11" t="s">
        <v>23</v>
      </c>
      <c r="C214" s="12" t="s">
        <v>240</v>
      </c>
      <c r="D214" s="13">
        <v>161</v>
      </c>
      <c r="E214" s="14">
        <f>+D214/SUM($D$214:$D$222)</f>
        <v>7.1175950486295311E-2</v>
      </c>
      <c r="F214" s="12">
        <v>353417.90999999968</v>
      </c>
      <c r="G214" s="12">
        <f t="shared" si="26"/>
        <v>25154.855663129951</v>
      </c>
      <c r="H214" s="17">
        <f>+SUM(E214:E222)</f>
        <v>1</v>
      </c>
      <c r="I214" s="12">
        <f>+SUM(G214:G222)</f>
        <v>353417.90999999968</v>
      </c>
      <c r="J214" s="12" t="b">
        <f>+I214=F214</f>
        <v>1</v>
      </c>
    </row>
    <row r="215" spans="1:10" x14ac:dyDescent="0.25">
      <c r="A215" s="3" t="s">
        <v>27</v>
      </c>
      <c r="B215" s="3" t="s">
        <v>23</v>
      </c>
      <c r="C215" t="s">
        <v>241</v>
      </c>
      <c r="D215" s="4">
        <v>164</v>
      </c>
      <c r="E215" s="7">
        <f t="shared" ref="E215:E222" si="27">+D215/SUM($D$214:$D$222)</f>
        <v>7.250221043324491E-2</v>
      </c>
      <c r="F215">
        <v>353417.90999999968</v>
      </c>
      <c r="G215">
        <f t="shared" si="26"/>
        <v>25623.579681697589</v>
      </c>
    </row>
    <row r="216" spans="1:10" x14ac:dyDescent="0.25">
      <c r="A216" s="3" t="s">
        <v>27</v>
      </c>
      <c r="B216" s="3" t="s">
        <v>23</v>
      </c>
      <c r="C216" t="s">
        <v>242</v>
      </c>
      <c r="D216" s="4">
        <v>155</v>
      </c>
      <c r="E216" s="7">
        <f t="shared" si="27"/>
        <v>6.8523430592396115E-2</v>
      </c>
      <c r="F216">
        <v>353417.90999999968</v>
      </c>
      <c r="G216">
        <f t="shared" si="26"/>
        <v>24217.407625994674</v>
      </c>
    </row>
    <row r="217" spans="1:10" x14ac:dyDescent="0.25">
      <c r="A217" s="3" t="s">
        <v>27</v>
      </c>
      <c r="B217" s="3" t="s">
        <v>23</v>
      </c>
      <c r="C217" t="s">
        <v>243</v>
      </c>
      <c r="D217" s="4">
        <v>256</v>
      </c>
      <c r="E217" s="7">
        <f t="shared" si="27"/>
        <v>0.11317418213969938</v>
      </c>
      <c r="F217">
        <v>353417.90999999968</v>
      </c>
      <c r="G217">
        <f t="shared" si="26"/>
        <v>39997.782917771845</v>
      </c>
    </row>
    <row r="218" spans="1:10" x14ac:dyDescent="0.25">
      <c r="A218" s="3" t="s">
        <v>27</v>
      </c>
      <c r="B218" s="3" t="s">
        <v>23</v>
      </c>
      <c r="C218" t="s">
        <v>244</v>
      </c>
      <c r="D218" s="4">
        <v>295</v>
      </c>
      <c r="E218" s="7">
        <f t="shared" si="27"/>
        <v>0.13041556145004421</v>
      </c>
      <c r="F218">
        <v>353417.90999999968</v>
      </c>
      <c r="G218">
        <f t="shared" si="26"/>
        <v>46091.195159151153</v>
      </c>
    </row>
    <row r="219" spans="1:10" x14ac:dyDescent="0.25">
      <c r="A219" s="3" t="s">
        <v>27</v>
      </c>
      <c r="B219" s="3" t="s">
        <v>23</v>
      </c>
      <c r="C219" t="s">
        <v>245</v>
      </c>
      <c r="D219" s="4">
        <v>154</v>
      </c>
      <c r="E219" s="7">
        <f t="shared" si="27"/>
        <v>6.8081343943412906E-2</v>
      </c>
      <c r="F219">
        <v>353417.90999999968</v>
      </c>
      <c r="G219">
        <f t="shared" si="26"/>
        <v>24061.166286472126</v>
      </c>
    </row>
    <row r="220" spans="1:10" x14ac:dyDescent="0.25">
      <c r="A220" s="3" t="s">
        <v>27</v>
      </c>
      <c r="B220" s="3" t="s">
        <v>23</v>
      </c>
      <c r="C220" t="s">
        <v>246</v>
      </c>
      <c r="D220" s="4">
        <v>262</v>
      </c>
      <c r="E220" s="7">
        <f t="shared" si="27"/>
        <v>0.11582670203359859</v>
      </c>
      <c r="F220">
        <v>353417.90999999968</v>
      </c>
      <c r="G220">
        <f t="shared" si="26"/>
        <v>40935.230954907129</v>
      </c>
    </row>
    <row r="221" spans="1:10" x14ac:dyDescent="0.25">
      <c r="A221" s="3" t="s">
        <v>27</v>
      </c>
      <c r="B221" s="3" t="s">
        <v>23</v>
      </c>
      <c r="C221" t="s">
        <v>247</v>
      </c>
      <c r="D221" s="4">
        <v>347</v>
      </c>
      <c r="E221" s="7">
        <f t="shared" si="27"/>
        <v>0.15340406719717065</v>
      </c>
      <c r="F221">
        <v>353417.90999999968</v>
      </c>
      <c r="G221">
        <f t="shared" si="26"/>
        <v>54215.74481432356</v>
      </c>
    </row>
    <row r="222" spans="1:10" x14ac:dyDescent="0.25">
      <c r="A222" s="5" t="s">
        <v>27</v>
      </c>
      <c r="B222" s="3" t="s">
        <v>23</v>
      </c>
      <c r="C222" t="s">
        <v>248</v>
      </c>
      <c r="D222" s="4">
        <v>468</v>
      </c>
      <c r="E222" s="7">
        <f t="shared" si="27"/>
        <v>0.20689655172413793</v>
      </c>
      <c r="F222">
        <v>353417.90999999968</v>
      </c>
      <c r="G222">
        <f t="shared" si="26"/>
        <v>73120.946896551657</v>
      </c>
    </row>
    <row r="223" spans="1:10" s="9" customFormat="1" x14ac:dyDescent="0.25">
      <c r="A223" s="8" t="s">
        <v>28</v>
      </c>
      <c r="B223" s="8" t="s">
        <v>0</v>
      </c>
      <c r="C223" s="9" t="s">
        <v>45</v>
      </c>
      <c r="D223" s="10">
        <v>80</v>
      </c>
      <c r="E223" s="20">
        <f>+D223/SUM($D$223:$D$237)</f>
        <v>1.2486343062275636E-2</v>
      </c>
      <c r="F223" s="9">
        <v>394891.18999999994</v>
      </c>
      <c r="G223" s="9">
        <f t="shared" si="26"/>
        <v>4930.7468706102691</v>
      </c>
      <c r="H223" s="18">
        <f>+SUM(E223:E237)</f>
        <v>1</v>
      </c>
      <c r="I223" s="9">
        <f>+SUM(G223:G237)</f>
        <v>394891.18999999994</v>
      </c>
      <c r="J223" s="9" t="b">
        <f>+I223=F223</f>
        <v>1</v>
      </c>
    </row>
    <row r="224" spans="1:10" x14ac:dyDescent="0.25">
      <c r="A224" s="3" t="s">
        <v>28</v>
      </c>
      <c r="B224" s="3" t="s">
        <v>0</v>
      </c>
      <c r="C224" t="s">
        <v>46</v>
      </c>
      <c r="D224" s="4">
        <v>302</v>
      </c>
      <c r="E224" s="7">
        <f t="shared" ref="E224:E237" si="28">+D224/SUM($D$223:$D$237)</f>
        <v>4.7135945060090528E-2</v>
      </c>
      <c r="F224">
        <v>394891.18999999994</v>
      </c>
      <c r="G224">
        <f t="shared" si="26"/>
        <v>18613.569436553767</v>
      </c>
    </row>
    <row r="225" spans="1:10" x14ac:dyDescent="0.25">
      <c r="A225" s="3" t="s">
        <v>28</v>
      </c>
      <c r="B225" s="3" t="s">
        <v>0</v>
      </c>
      <c r="C225" t="s">
        <v>47</v>
      </c>
      <c r="D225" s="4">
        <v>1576</v>
      </c>
      <c r="E225" s="7">
        <f t="shared" si="28"/>
        <v>0.24598095832683003</v>
      </c>
      <c r="F225">
        <v>394891.18999999994</v>
      </c>
      <c r="G225">
        <f t="shared" si="26"/>
        <v>97135.713351022307</v>
      </c>
    </row>
    <row r="226" spans="1:10" x14ac:dyDescent="0.25">
      <c r="A226" s="3" t="s">
        <v>28</v>
      </c>
      <c r="B226" s="3" t="s">
        <v>0</v>
      </c>
      <c r="C226" t="s">
        <v>48</v>
      </c>
      <c r="D226" s="4">
        <v>138</v>
      </c>
      <c r="E226" s="7">
        <f t="shared" si="28"/>
        <v>2.1538941782425471E-2</v>
      </c>
      <c r="F226">
        <v>394891.18999999994</v>
      </c>
      <c r="G226">
        <f t="shared" si="26"/>
        <v>8505.5383518027138</v>
      </c>
    </row>
    <row r="227" spans="1:10" x14ac:dyDescent="0.25">
      <c r="A227" s="3" t="s">
        <v>28</v>
      </c>
      <c r="B227" s="3" t="s">
        <v>0</v>
      </c>
      <c r="C227" t="s">
        <v>49</v>
      </c>
      <c r="D227" s="4">
        <v>179</v>
      </c>
      <c r="E227" s="7">
        <f t="shared" si="28"/>
        <v>2.7938192601841737E-2</v>
      </c>
      <c r="F227">
        <v>394891.18999999994</v>
      </c>
      <c r="G227">
        <f t="shared" si="26"/>
        <v>11032.546122990478</v>
      </c>
    </row>
    <row r="228" spans="1:10" x14ac:dyDescent="0.25">
      <c r="A228" s="3" t="s">
        <v>28</v>
      </c>
      <c r="B228" s="3" t="s">
        <v>0</v>
      </c>
      <c r="C228" t="s">
        <v>50</v>
      </c>
      <c r="D228" s="4">
        <v>120</v>
      </c>
      <c r="E228" s="7">
        <f t="shared" si="28"/>
        <v>1.8729514593413453E-2</v>
      </c>
      <c r="F228">
        <v>394891.18999999994</v>
      </c>
      <c r="G228">
        <f t="shared" si="26"/>
        <v>7396.1203059154032</v>
      </c>
    </row>
    <row r="229" spans="1:10" x14ac:dyDescent="0.25">
      <c r="A229" s="3" t="s">
        <v>28</v>
      </c>
      <c r="B229" s="3" t="s">
        <v>0</v>
      </c>
      <c r="C229" t="s">
        <v>51</v>
      </c>
      <c r="D229" s="4">
        <v>764</v>
      </c>
      <c r="E229" s="7">
        <f t="shared" si="28"/>
        <v>0.11924457624473232</v>
      </c>
      <c r="F229">
        <v>394891.18999999994</v>
      </c>
      <c r="G229">
        <f t="shared" si="26"/>
        <v>47088.632614328075</v>
      </c>
    </row>
    <row r="230" spans="1:10" x14ac:dyDescent="0.25">
      <c r="A230" s="3" t="s">
        <v>28</v>
      </c>
      <c r="B230" s="3" t="s">
        <v>0</v>
      </c>
      <c r="C230" t="s">
        <v>52</v>
      </c>
      <c r="D230" s="4">
        <v>666</v>
      </c>
      <c r="E230" s="7">
        <f t="shared" si="28"/>
        <v>0.10394880599344467</v>
      </c>
      <c r="F230">
        <v>394891.18999999994</v>
      </c>
      <c r="G230">
        <f t="shared" si="26"/>
        <v>41048.467697830492</v>
      </c>
    </row>
    <row r="231" spans="1:10" x14ac:dyDescent="0.25">
      <c r="A231" s="3" t="s">
        <v>28</v>
      </c>
      <c r="B231" s="3" t="s">
        <v>0</v>
      </c>
      <c r="C231" t="s">
        <v>254</v>
      </c>
      <c r="D231" s="4">
        <v>219</v>
      </c>
      <c r="E231" s="7">
        <f t="shared" si="28"/>
        <v>3.4181364132979557E-2</v>
      </c>
      <c r="F231">
        <v>394891.18999999994</v>
      </c>
      <c r="G231">
        <f t="shared" si="26"/>
        <v>13497.919558295613</v>
      </c>
    </row>
    <row r="232" spans="1:10" x14ac:dyDescent="0.25">
      <c r="A232" s="3" t="s">
        <v>28</v>
      </c>
      <c r="B232" s="3" t="s">
        <v>0</v>
      </c>
      <c r="C232" t="s">
        <v>53</v>
      </c>
      <c r="D232" s="4">
        <v>603</v>
      </c>
      <c r="E232" s="7">
        <f t="shared" si="28"/>
        <v>9.411581083190261E-2</v>
      </c>
      <c r="F232">
        <v>394891.18999999994</v>
      </c>
      <c r="G232">
        <f t="shared" si="26"/>
        <v>37165.504537224908</v>
      </c>
    </row>
    <row r="233" spans="1:10" x14ac:dyDescent="0.25">
      <c r="A233" s="3" t="s">
        <v>28</v>
      </c>
      <c r="B233" s="3" t="s">
        <v>0</v>
      </c>
      <c r="C233" t="s">
        <v>54</v>
      </c>
      <c r="D233" s="4">
        <v>321</v>
      </c>
      <c r="E233" s="7">
        <f t="shared" si="28"/>
        <v>5.0101451537380992E-2</v>
      </c>
      <c r="F233">
        <v>394891.18999999994</v>
      </c>
      <c r="G233">
        <f t="shared" si="26"/>
        <v>19784.621818323707</v>
      </c>
    </row>
    <row r="234" spans="1:10" x14ac:dyDescent="0.25">
      <c r="A234" s="3" t="s">
        <v>28</v>
      </c>
      <c r="B234" s="3" t="s">
        <v>0</v>
      </c>
      <c r="C234" t="s">
        <v>55</v>
      </c>
      <c r="D234" s="4">
        <v>20</v>
      </c>
      <c r="E234" s="7">
        <f t="shared" si="28"/>
        <v>3.1215857655689091E-3</v>
      </c>
      <c r="F234">
        <v>394891.18999999994</v>
      </c>
      <c r="G234">
        <f t="shared" si="26"/>
        <v>1232.6867176525673</v>
      </c>
    </row>
    <row r="235" spans="1:10" x14ac:dyDescent="0.25">
      <c r="A235" s="3" t="s">
        <v>28</v>
      </c>
      <c r="B235" s="3" t="s">
        <v>0</v>
      </c>
      <c r="C235" t="s">
        <v>56</v>
      </c>
      <c r="D235" s="4">
        <v>420</v>
      </c>
      <c r="E235" s="7">
        <f t="shared" si="28"/>
        <v>6.5553301076947096E-2</v>
      </c>
      <c r="F235">
        <v>394891.18999999994</v>
      </c>
      <c r="G235">
        <f t="shared" si="26"/>
        <v>25886.421070703916</v>
      </c>
    </row>
    <row r="236" spans="1:10" x14ac:dyDescent="0.25">
      <c r="A236" s="3" t="s">
        <v>28</v>
      </c>
      <c r="B236" s="3" t="s">
        <v>0</v>
      </c>
      <c r="C236" t="s">
        <v>57</v>
      </c>
      <c r="D236" s="4">
        <v>129</v>
      </c>
      <c r="E236" s="7">
        <f t="shared" si="28"/>
        <v>2.0134228187919462E-2</v>
      </c>
      <c r="F236">
        <v>394891.18999999994</v>
      </c>
      <c r="G236">
        <f t="shared" si="26"/>
        <v>7950.8293288590585</v>
      </c>
    </row>
    <row r="237" spans="1:10" x14ac:dyDescent="0.25">
      <c r="A237" s="3" t="s">
        <v>28</v>
      </c>
      <c r="B237" s="3" t="s">
        <v>0</v>
      </c>
      <c r="C237" t="s">
        <v>58</v>
      </c>
      <c r="D237" s="4">
        <v>870</v>
      </c>
      <c r="E237" s="7">
        <f t="shared" si="28"/>
        <v>0.13578898080224755</v>
      </c>
      <c r="F237">
        <v>394891.18999999994</v>
      </c>
      <c r="G237">
        <f t="shared" si="26"/>
        <v>53621.872217886681</v>
      </c>
    </row>
    <row r="238" spans="1:10" s="9" customFormat="1" x14ac:dyDescent="0.25">
      <c r="A238" s="8" t="s">
        <v>28</v>
      </c>
      <c r="B238" s="8" t="s">
        <v>1</v>
      </c>
      <c r="C238" s="9" t="s">
        <v>59</v>
      </c>
      <c r="D238" s="10">
        <v>63</v>
      </c>
      <c r="E238" s="20">
        <f>+D238/SUM($D$238:$D$244)</f>
        <v>1.9230769230769232E-2</v>
      </c>
      <c r="F238" s="9">
        <v>117524.82009999966</v>
      </c>
      <c r="G238" s="9">
        <f t="shared" si="26"/>
        <v>2260.0926942307628</v>
      </c>
      <c r="H238" s="18">
        <f>+SUM(E238:E244)</f>
        <v>1</v>
      </c>
      <c r="I238" s="9">
        <f>+SUM(G238:G244)</f>
        <v>117524.82009999968</v>
      </c>
      <c r="J238" s="9" t="b">
        <f>+I238=F238</f>
        <v>1</v>
      </c>
    </row>
    <row r="239" spans="1:10" x14ac:dyDescent="0.25">
      <c r="A239" s="3" t="s">
        <v>28</v>
      </c>
      <c r="B239" s="3" t="s">
        <v>1</v>
      </c>
      <c r="C239" t="s">
        <v>60</v>
      </c>
      <c r="D239" s="4">
        <v>267</v>
      </c>
      <c r="E239" s="7">
        <f t="shared" ref="E239:E244" si="29">+D239/SUM($D$238:$D$244)</f>
        <v>8.1501831501831504E-2</v>
      </c>
      <c r="F239">
        <v>117524.82009999966</v>
      </c>
      <c r="G239">
        <f t="shared" si="26"/>
        <v>9578.4880850732334</v>
      </c>
    </row>
    <row r="240" spans="1:10" x14ac:dyDescent="0.25">
      <c r="A240" s="3" t="s">
        <v>28</v>
      </c>
      <c r="B240" s="3" t="s">
        <v>1</v>
      </c>
      <c r="C240" t="s">
        <v>61</v>
      </c>
      <c r="D240" s="4">
        <v>508</v>
      </c>
      <c r="E240" s="7">
        <f t="shared" si="29"/>
        <v>0.15506715506715507</v>
      </c>
      <c r="F240">
        <v>117524.82009999966</v>
      </c>
      <c r="G240">
        <f t="shared" si="26"/>
        <v>18224.239502686152</v>
      </c>
    </row>
    <row r="241" spans="1:10" x14ac:dyDescent="0.25">
      <c r="A241" s="3" t="s">
        <v>28</v>
      </c>
      <c r="B241" s="3" t="s">
        <v>1</v>
      </c>
      <c r="C241" t="s">
        <v>62</v>
      </c>
      <c r="D241" s="4">
        <v>104</v>
      </c>
      <c r="E241" s="7">
        <f t="shared" si="29"/>
        <v>3.1746031746031744E-2</v>
      </c>
      <c r="F241">
        <v>117524.82009999966</v>
      </c>
      <c r="G241">
        <f t="shared" si="26"/>
        <v>3730.9466698412589</v>
      </c>
    </row>
    <row r="242" spans="1:10" x14ac:dyDescent="0.25">
      <c r="A242" s="3" t="s">
        <v>28</v>
      </c>
      <c r="B242" s="3" t="s">
        <v>1</v>
      </c>
      <c r="C242" t="s">
        <v>63</v>
      </c>
      <c r="D242" s="4">
        <v>1809</v>
      </c>
      <c r="E242" s="7">
        <f t="shared" si="29"/>
        <v>0.55219780219780223</v>
      </c>
      <c r="F242">
        <v>117524.82009999966</v>
      </c>
      <c r="G242">
        <f t="shared" si="26"/>
        <v>64896.947362911909</v>
      </c>
    </row>
    <row r="243" spans="1:10" x14ac:dyDescent="0.25">
      <c r="A243" s="3" t="s">
        <v>28</v>
      </c>
      <c r="B243" s="3" t="s">
        <v>1</v>
      </c>
      <c r="C243" t="s">
        <v>64</v>
      </c>
      <c r="D243" s="4">
        <v>62</v>
      </c>
      <c r="E243" s="7">
        <f t="shared" si="29"/>
        <v>1.8925518925518924E-2</v>
      </c>
      <c r="F243">
        <v>117524.82009999966</v>
      </c>
      <c r="G243">
        <f t="shared" si="26"/>
        <v>2224.2182070207505</v>
      </c>
    </row>
    <row r="244" spans="1:10" x14ac:dyDescent="0.25">
      <c r="A244" s="3" t="s">
        <v>28</v>
      </c>
      <c r="B244" s="3" t="s">
        <v>1</v>
      </c>
      <c r="C244" t="s">
        <v>65</v>
      </c>
      <c r="D244" s="4">
        <v>463</v>
      </c>
      <c r="E244" s="7">
        <f t="shared" si="29"/>
        <v>0.14133089133089133</v>
      </c>
      <c r="F244">
        <v>117524.82009999966</v>
      </c>
      <c r="G244">
        <f t="shared" si="26"/>
        <v>16609.887578235604</v>
      </c>
    </row>
    <row r="245" spans="1:10" s="9" customFormat="1" x14ac:dyDescent="0.25">
      <c r="A245" s="8" t="s">
        <v>28</v>
      </c>
      <c r="B245" s="8" t="s">
        <v>2</v>
      </c>
      <c r="C245" s="9" t="s">
        <v>66</v>
      </c>
      <c r="D245" s="10">
        <v>1217</v>
      </c>
      <c r="E245" s="20">
        <f>+D245/SUM($D$245:$D$251)</f>
        <v>0.26009831160504382</v>
      </c>
      <c r="F245" s="9">
        <v>277132.13020000025</v>
      </c>
      <c r="G245" s="9">
        <f t="shared" si="26"/>
        <v>72081.599156529235</v>
      </c>
      <c r="H245" s="18">
        <f>+SUM(E245:E251)</f>
        <v>0.99999999999999989</v>
      </c>
      <c r="I245" s="9">
        <f>+SUM(G245:G251)</f>
        <v>277132.13020000025</v>
      </c>
      <c r="J245" s="9" t="b">
        <f>+I245=F245</f>
        <v>1</v>
      </c>
    </row>
    <row r="246" spans="1:10" x14ac:dyDescent="0.25">
      <c r="A246" s="3" t="s">
        <v>28</v>
      </c>
      <c r="B246" s="3" t="s">
        <v>2</v>
      </c>
      <c r="C246" t="s">
        <v>67</v>
      </c>
      <c r="D246" s="4">
        <v>298</v>
      </c>
      <c r="E246" s="7">
        <f t="shared" ref="E246:E251" si="30">+D246/SUM($D$245:$D$251)</f>
        <v>6.3688822397948278E-2</v>
      </c>
      <c r="F246">
        <v>277132.13020000025</v>
      </c>
      <c r="G246">
        <f t="shared" si="26"/>
        <v>17650.219021072895</v>
      </c>
    </row>
    <row r="247" spans="1:10" x14ac:dyDescent="0.25">
      <c r="A247" s="3" t="s">
        <v>28</v>
      </c>
      <c r="B247" s="3" t="s">
        <v>2</v>
      </c>
      <c r="C247" t="s">
        <v>2</v>
      </c>
      <c r="D247" s="4">
        <v>1800</v>
      </c>
      <c r="E247" s="7">
        <f t="shared" si="30"/>
        <v>0.38469758495404999</v>
      </c>
      <c r="F247">
        <v>277132.13020000025</v>
      </c>
      <c r="G247">
        <f t="shared" si="26"/>
        <v>106612.06120111144</v>
      </c>
    </row>
    <row r="248" spans="1:10" x14ac:dyDescent="0.25">
      <c r="A248" s="3" t="s">
        <v>28</v>
      </c>
      <c r="B248" s="3" t="s">
        <v>2</v>
      </c>
      <c r="C248" t="s">
        <v>68</v>
      </c>
      <c r="D248" s="4">
        <v>379</v>
      </c>
      <c r="E248" s="7">
        <f t="shared" si="30"/>
        <v>8.1000213720880523E-2</v>
      </c>
      <c r="F248">
        <v>277132.13020000025</v>
      </c>
      <c r="G248">
        <f t="shared" si="26"/>
        <v>22447.761775122908</v>
      </c>
    </row>
    <row r="249" spans="1:10" x14ac:dyDescent="0.25">
      <c r="A249" s="3" t="s">
        <v>28</v>
      </c>
      <c r="B249" s="3" t="s">
        <v>2</v>
      </c>
      <c r="C249" t="s">
        <v>69</v>
      </c>
      <c r="D249" s="4">
        <v>397</v>
      </c>
      <c r="E249" s="7">
        <f t="shared" si="30"/>
        <v>8.4847189570421033E-2</v>
      </c>
      <c r="F249">
        <v>277132.13020000025</v>
      </c>
      <c r="G249">
        <f t="shared" si="26"/>
        <v>23513.882387134025</v>
      </c>
    </row>
    <row r="250" spans="1:10" x14ac:dyDescent="0.25">
      <c r="A250" s="3" t="s">
        <v>28</v>
      </c>
      <c r="B250" s="3" t="s">
        <v>2</v>
      </c>
      <c r="C250" t="s">
        <v>70</v>
      </c>
      <c r="D250" s="4">
        <v>339</v>
      </c>
      <c r="E250" s="7">
        <f t="shared" si="30"/>
        <v>7.245137849967942E-2</v>
      </c>
      <c r="F250">
        <v>277132.13020000025</v>
      </c>
      <c r="G250">
        <f t="shared" si="26"/>
        <v>20078.604859542655</v>
      </c>
    </row>
    <row r="251" spans="1:10" x14ac:dyDescent="0.25">
      <c r="A251" s="3" t="s">
        <v>28</v>
      </c>
      <c r="B251" s="3" t="s">
        <v>2</v>
      </c>
      <c r="C251" t="s">
        <v>71</v>
      </c>
      <c r="D251" s="4">
        <v>249</v>
      </c>
      <c r="E251" s="7">
        <f t="shared" si="30"/>
        <v>5.3216499251976919E-2</v>
      </c>
      <c r="F251">
        <v>277132.13020000025</v>
      </c>
      <c r="G251">
        <f t="shared" si="26"/>
        <v>14748.001799487083</v>
      </c>
    </row>
    <row r="252" spans="1:10" s="9" customFormat="1" x14ac:dyDescent="0.25">
      <c r="A252" s="8" t="s">
        <v>28</v>
      </c>
      <c r="B252" s="8" t="s">
        <v>3</v>
      </c>
      <c r="C252" s="9" t="s">
        <v>1</v>
      </c>
      <c r="D252" s="10">
        <v>415</v>
      </c>
      <c r="E252" s="20">
        <f>+D252/SUM($D$252:$D$257)</f>
        <v>0.19483568075117372</v>
      </c>
      <c r="F252" s="9">
        <v>64165.180200000061</v>
      </c>
      <c r="G252" s="9">
        <f t="shared" si="26"/>
        <v>12501.666564788744</v>
      </c>
      <c r="H252" s="18">
        <f>+SUM(E252:E257)</f>
        <v>1</v>
      </c>
      <c r="I252" s="9">
        <f>+SUM(G252:G257)</f>
        <v>64165.180200000061</v>
      </c>
      <c r="J252" s="9" t="b">
        <f>+I252=F252</f>
        <v>1</v>
      </c>
    </row>
    <row r="253" spans="1:10" x14ac:dyDescent="0.25">
      <c r="A253" s="3" t="s">
        <v>28</v>
      </c>
      <c r="B253" s="3" t="s">
        <v>3</v>
      </c>
      <c r="C253" t="s">
        <v>72</v>
      </c>
      <c r="D253" s="4">
        <v>300</v>
      </c>
      <c r="E253" s="7">
        <f t="shared" ref="E253:E257" si="31">+D253/SUM($D$252:$D$257)</f>
        <v>0.14084507042253522</v>
      </c>
      <c r="F253">
        <v>64165.180200000061</v>
      </c>
      <c r="G253">
        <f t="shared" si="26"/>
        <v>9037.3493239436702</v>
      </c>
    </row>
    <row r="254" spans="1:10" x14ac:dyDescent="0.25">
      <c r="A254" s="3" t="s">
        <v>28</v>
      </c>
      <c r="B254" s="3" t="s">
        <v>3</v>
      </c>
      <c r="C254" t="s">
        <v>73</v>
      </c>
      <c r="D254" s="4">
        <v>527</v>
      </c>
      <c r="E254" s="7">
        <f t="shared" si="31"/>
        <v>0.24741784037558687</v>
      </c>
      <c r="F254">
        <v>64165.180200000061</v>
      </c>
      <c r="G254">
        <f t="shared" si="26"/>
        <v>15875.610312394381</v>
      </c>
    </row>
    <row r="255" spans="1:10" x14ac:dyDescent="0.25">
      <c r="A255" s="3" t="s">
        <v>28</v>
      </c>
      <c r="B255" s="3" t="s">
        <v>3</v>
      </c>
      <c r="C255" t="s">
        <v>74</v>
      </c>
      <c r="D255" s="4">
        <v>345</v>
      </c>
      <c r="E255" s="7">
        <f t="shared" si="31"/>
        <v>0.1619718309859155</v>
      </c>
      <c r="F255">
        <v>64165.180200000061</v>
      </c>
      <c r="G255">
        <f t="shared" si="26"/>
        <v>10392.951722535221</v>
      </c>
    </row>
    <row r="256" spans="1:10" x14ac:dyDescent="0.25">
      <c r="A256" s="3" t="s">
        <v>28</v>
      </c>
      <c r="B256" s="3" t="s">
        <v>3</v>
      </c>
      <c r="C256" t="s">
        <v>75</v>
      </c>
      <c r="D256" s="4">
        <v>80</v>
      </c>
      <c r="E256" s="7">
        <f t="shared" si="31"/>
        <v>3.7558685446009391E-2</v>
      </c>
      <c r="F256">
        <v>64165.180200000061</v>
      </c>
      <c r="G256">
        <f t="shared" si="26"/>
        <v>2409.9598197183122</v>
      </c>
    </row>
    <row r="257" spans="1:10" x14ac:dyDescent="0.25">
      <c r="A257" s="3" t="s">
        <v>28</v>
      </c>
      <c r="B257" s="3" t="s">
        <v>3</v>
      </c>
      <c r="C257" t="s">
        <v>76</v>
      </c>
      <c r="D257" s="4">
        <v>463</v>
      </c>
      <c r="E257" s="7">
        <f t="shared" si="31"/>
        <v>0.21737089201877935</v>
      </c>
      <c r="F257">
        <v>64165.180200000061</v>
      </c>
      <c r="G257">
        <f t="shared" si="26"/>
        <v>13947.642456619731</v>
      </c>
    </row>
    <row r="258" spans="1:10" s="9" customFormat="1" x14ac:dyDescent="0.25">
      <c r="A258" s="8" t="s">
        <v>28</v>
      </c>
      <c r="B258" s="8" t="s">
        <v>4</v>
      </c>
      <c r="C258" s="9" t="s">
        <v>77</v>
      </c>
      <c r="D258" s="10">
        <v>747</v>
      </c>
      <c r="E258" s="20">
        <f>+D258/SUM($D$258:$D$267)</f>
        <v>9.3130532352574485E-2</v>
      </c>
      <c r="F258" s="9">
        <v>189411.91940000094</v>
      </c>
      <c r="G258" s="9">
        <f t="shared" si="26"/>
        <v>17640.032887645018</v>
      </c>
      <c r="H258" s="18">
        <f>+SUM(E258:E267)</f>
        <v>1</v>
      </c>
      <c r="I258" s="9">
        <f>+SUM(G258:G267)</f>
        <v>189411.91940000092</v>
      </c>
      <c r="J258" s="9" t="b">
        <f>+I258=F258</f>
        <v>1</v>
      </c>
    </row>
    <row r="259" spans="1:10" x14ac:dyDescent="0.25">
      <c r="A259" s="3" t="s">
        <v>28</v>
      </c>
      <c r="B259" s="3" t="s">
        <v>4</v>
      </c>
      <c r="C259" t="s">
        <v>78</v>
      </c>
      <c r="D259" s="4">
        <v>353</v>
      </c>
      <c r="E259" s="7">
        <f t="shared" ref="E259:E267" si="32">+D259/SUM($D$258:$D$267)</f>
        <v>4.4009475127789549E-2</v>
      </c>
      <c r="F259">
        <v>189411.91940000094</v>
      </c>
      <c r="G259">
        <f t="shared" si="26"/>
        <v>8335.9191557412196</v>
      </c>
    </row>
    <row r="260" spans="1:10" x14ac:dyDescent="0.25">
      <c r="A260" s="3" t="s">
        <v>28</v>
      </c>
      <c r="B260" s="3" t="s">
        <v>4</v>
      </c>
      <c r="C260" t="s">
        <v>79</v>
      </c>
      <c r="D260" s="4">
        <v>225</v>
      </c>
      <c r="E260" s="7">
        <f t="shared" si="32"/>
        <v>2.8051365166438101E-2</v>
      </c>
      <c r="F260">
        <v>189411.91940000094</v>
      </c>
      <c r="G260">
        <f t="shared" si="26"/>
        <v>5313.2629179653677</v>
      </c>
    </row>
    <row r="261" spans="1:10" x14ac:dyDescent="0.25">
      <c r="A261" s="3" t="s">
        <v>28</v>
      </c>
      <c r="B261" s="3" t="s">
        <v>4</v>
      </c>
      <c r="C261" t="s">
        <v>80</v>
      </c>
      <c r="D261" s="4">
        <v>1313</v>
      </c>
      <c r="E261" s="7">
        <f t="shared" si="32"/>
        <v>0.16369529983792544</v>
      </c>
      <c r="F261">
        <v>189411.91940000094</v>
      </c>
      <c r="G261">
        <f t="shared" si="26"/>
        <v>31005.840939060123</v>
      </c>
    </row>
    <row r="262" spans="1:10" x14ac:dyDescent="0.25">
      <c r="A262" s="3" t="s">
        <v>28</v>
      </c>
      <c r="B262" s="3" t="s">
        <v>4</v>
      </c>
      <c r="C262" t="s">
        <v>81</v>
      </c>
      <c r="D262" s="4">
        <v>98</v>
      </c>
      <c r="E262" s="7">
        <f t="shared" si="32"/>
        <v>1.2217927939159707E-2</v>
      </c>
      <c r="F262">
        <v>189411.91940000094</v>
      </c>
      <c r="G262">
        <f t="shared" si="26"/>
        <v>2314.221182047138</v>
      </c>
    </row>
    <row r="263" spans="1:10" x14ac:dyDescent="0.25">
      <c r="A263" s="3" t="s">
        <v>28</v>
      </c>
      <c r="B263" s="3" t="s">
        <v>4</v>
      </c>
      <c r="C263" t="s">
        <v>82</v>
      </c>
      <c r="D263" s="4">
        <v>1035</v>
      </c>
      <c r="E263" s="7">
        <f t="shared" si="32"/>
        <v>0.12903627976561527</v>
      </c>
      <c r="F263">
        <v>189411.91940000094</v>
      </c>
      <c r="G263">
        <f t="shared" si="26"/>
        <v>24441.009422640691</v>
      </c>
    </row>
    <row r="264" spans="1:10" x14ac:dyDescent="0.25">
      <c r="A264" s="3" t="s">
        <v>28</v>
      </c>
      <c r="B264" s="3" t="s">
        <v>4</v>
      </c>
      <c r="C264" t="s">
        <v>83</v>
      </c>
      <c r="D264" s="4">
        <v>1436</v>
      </c>
      <c r="E264" s="7">
        <f t="shared" si="32"/>
        <v>0.1790300461289116</v>
      </c>
      <c r="F264">
        <v>189411.91940000094</v>
      </c>
      <c r="G264">
        <f t="shared" si="26"/>
        <v>33910.424667547857</v>
      </c>
    </row>
    <row r="265" spans="1:10" x14ac:dyDescent="0.25">
      <c r="A265" s="3" t="s">
        <v>28</v>
      </c>
      <c r="B265" s="3" t="s">
        <v>4</v>
      </c>
      <c r="C265" t="s">
        <v>84</v>
      </c>
      <c r="D265" s="4">
        <v>190</v>
      </c>
      <c r="E265" s="7">
        <f t="shared" si="32"/>
        <v>2.3687819473881062E-2</v>
      </c>
      <c r="F265">
        <v>189411.91940000094</v>
      </c>
      <c r="G265">
        <f t="shared" si="26"/>
        <v>4486.7553529485322</v>
      </c>
    </row>
    <row r="266" spans="1:10" x14ac:dyDescent="0.25">
      <c r="A266" s="3" t="s">
        <v>28</v>
      </c>
      <c r="B266" s="3" t="s">
        <v>4</v>
      </c>
      <c r="C266" t="s">
        <v>85</v>
      </c>
      <c r="D266" s="4">
        <v>522</v>
      </c>
      <c r="E266" s="7">
        <f t="shared" si="32"/>
        <v>6.5079167186136391E-2</v>
      </c>
      <c r="F266">
        <v>189411.91940000094</v>
      </c>
      <c r="G266">
        <f t="shared" si="26"/>
        <v>12326.769969679652</v>
      </c>
    </row>
    <row r="267" spans="1:10" x14ac:dyDescent="0.25">
      <c r="A267" s="3" t="s">
        <v>28</v>
      </c>
      <c r="B267" s="3" t="s">
        <v>4</v>
      </c>
      <c r="C267" t="s">
        <v>86</v>
      </c>
      <c r="D267" s="4">
        <v>2102</v>
      </c>
      <c r="E267" s="7">
        <f t="shared" si="32"/>
        <v>0.26206208702156836</v>
      </c>
      <c r="F267">
        <v>189411.91940000094</v>
      </c>
      <c r="G267">
        <f t="shared" si="26"/>
        <v>49637.682904725341</v>
      </c>
    </row>
    <row r="268" spans="1:10" s="9" customFormat="1" x14ac:dyDescent="0.25">
      <c r="A268" s="8" t="s">
        <v>28</v>
      </c>
      <c r="B268" s="8" t="s">
        <v>5</v>
      </c>
      <c r="C268" s="9" t="s">
        <v>87</v>
      </c>
      <c r="D268" s="10">
        <v>160</v>
      </c>
      <c r="E268" s="20">
        <f>+D268/SUM($D$268:$D$274)</f>
        <v>3.6968576709796676E-2</v>
      </c>
      <c r="F268" s="9">
        <v>162868.17000000039</v>
      </c>
      <c r="G268" s="9">
        <f t="shared" si="26"/>
        <v>6021.0044362292201</v>
      </c>
      <c r="H268" s="18">
        <f>+SUM(E268:E274)</f>
        <v>0.99999999999999989</v>
      </c>
      <c r="I268" s="9">
        <f>+SUM(G268:G274)</f>
        <v>162868.17000000036</v>
      </c>
      <c r="J268" s="9" t="b">
        <f>+I268=F268</f>
        <v>1</v>
      </c>
    </row>
    <row r="269" spans="1:10" x14ac:dyDescent="0.25">
      <c r="A269" s="3" t="s">
        <v>28</v>
      </c>
      <c r="B269" s="3" t="s">
        <v>5</v>
      </c>
      <c r="C269" t="s">
        <v>88</v>
      </c>
      <c r="D269" s="4">
        <v>1709</v>
      </c>
      <c r="E269" s="7">
        <f t="shared" ref="E269:E274" si="33">+D269/SUM($D$268:$D$274)</f>
        <v>0.39487060998151569</v>
      </c>
      <c r="F269">
        <v>162868.17000000039</v>
      </c>
      <c r="G269">
        <f t="shared" si="26"/>
        <v>64311.853634473351</v>
      </c>
    </row>
    <row r="270" spans="1:10" x14ac:dyDescent="0.25">
      <c r="A270" s="3" t="s">
        <v>28</v>
      </c>
      <c r="B270" s="3" t="s">
        <v>5</v>
      </c>
      <c r="C270" t="s">
        <v>89</v>
      </c>
      <c r="D270" s="4">
        <v>110</v>
      </c>
      <c r="E270" s="7">
        <f t="shared" si="33"/>
        <v>2.5415896487985212E-2</v>
      </c>
      <c r="F270">
        <v>162868.17000000039</v>
      </c>
      <c r="G270">
        <f t="shared" si="26"/>
        <v>4139.4405499075883</v>
      </c>
    </row>
    <row r="271" spans="1:10" x14ac:dyDescent="0.25">
      <c r="A271" s="3" t="s">
        <v>28</v>
      </c>
      <c r="B271" s="3" t="s">
        <v>5</v>
      </c>
      <c r="C271" t="s">
        <v>90</v>
      </c>
      <c r="D271" s="4">
        <v>616</v>
      </c>
      <c r="E271" s="7">
        <f t="shared" si="33"/>
        <v>0.14232902033271719</v>
      </c>
      <c r="F271">
        <v>162868.17000000039</v>
      </c>
      <c r="G271">
        <f t="shared" si="26"/>
        <v>23180.867079482494</v>
      </c>
    </row>
    <row r="272" spans="1:10" x14ac:dyDescent="0.25">
      <c r="A272" s="3" t="s">
        <v>28</v>
      </c>
      <c r="B272" s="3" t="s">
        <v>5</v>
      </c>
      <c r="C272" t="s">
        <v>91</v>
      </c>
      <c r="D272" s="4">
        <v>1189</v>
      </c>
      <c r="E272" s="7">
        <f t="shared" si="33"/>
        <v>0.27472273567467653</v>
      </c>
      <c r="F272">
        <v>162868.17000000039</v>
      </c>
      <c r="G272">
        <f t="shared" si="26"/>
        <v>44743.589216728389</v>
      </c>
    </row>
    <row r="273" spans="1:10" x14ac:dyDescent="0.25">
      <c r="A273" s="3" t="s">
        <v>28</v>
      </c>
      <c r="B273" s="3" t="s">
        <v>5</v>
      </c>
      <c r="C273" t="s">
        <v>92</v>
      </c>
      <c r="D273" s="4">
        <v>306</v>
      </c>
      <c r="E273" s="7">
        <f t="shared" si="33"/>
        <v>7.0702402957486143E-2</v>
      </c>
      <c r="F273">
        <v>162868.17000000039</v>
      </c>
      <c r="G273">
        <f t="shared" ref="G273:G336" si="34">+E273*F273</f>
        <v>11515.170984288383</v>
      </c>
    </row>
    <row r="274" spans="1:10" x14ac:dyDescent="0.25">
      <c r="A274" s="3" t="s">
        <v>28</v>
      </c>
      <c r="B274" s="3" t="s">
        <v>5</v>
      </c>
      <c r="C274" t="s">
        <v>93</v>
      </c>
      <c r="D274" s="4">
        <v>238</v>
      </c>
      <c r="E274" s="7">
        <f t="shared" si="33"/>
        <v>5.4990757855822553E-2</v>
      </c>
      <c r="F274">
        <v>162868.17000000039</v>
      </c>
      <c r="G274">
        <f t="shared" si="34"/>
        <v>8956.2440988909639</v>
      </c>
    </row>
    <row r="275" spans="1:10" s="9" customFormat="1" x14ac:dyDescent="0.25">
      <c r="A275" s="8" t="s">
        <v>28</v>
      </c>
      <c r="B275" s="8" t="s">
        <v>6</v>
      </c>
      <c r="C275" s="9" t="s">
        <v>94</v>
      </c>
      <c r="D275" s="10">
        <v>308</v>
      </c>
      <c r="E275" s="20">
        <f>+D275/SUM($D$275:$D$288)</f>
        <v>7.9463364293085662E-2</v>
      </c>
      <c r="F275" s="9">
        <v>206503.94019999937</v>
      </c>
      <c r="G275" s="9">
        <f t="shared" si="34"/>
        <v>16409.497828070125</v>
      </c>
      <c r="H275" s="18">
        <f>+SUM(E275:E288)</f>
        <v>0.99999999999999989</v>
      </c>
      <c r="I275" s="9">
        <f>+SUM(G275:G288)</f>
        <v>206503.9401999994</v>
      </c>
      <c r="J275" s="9" t="b">
        <f>+I275=F275</f>
        <v>1</v>
      </c>
    </row>
    <row r="276" spans="1:10" x14ac:dyDescent="0.25">
      <c r="A276" s="3" t="s">
        <v>28</v>
      </c>
      <c r="B276" s="3" t="s">
        <v>6</v>
      </c>
      <c r="C276" t="s">
        <v>95</v>
      </c>
      <c r="D276" s="4">
        <v>77</v>
      </c>
      <c r="E276" s="7">
        <f t="shared" ref="E276:E288" si="35">+D276/SUM($D$275:$D$288)</f>
        <v>1.9865841073271415E-2</v>
      </c>
      <c r="F276">
        <v>206503.94019999937</v>
      </c>
      <c r="G276">
        <f t="shared" si="34"/>
        <v>4102.3744570175313</v>
      </c>
    </row>
    <row r="277" spans="1:10" x14ac:dyDescent="0.25">
      <c r="A277" s="3" t="s">
        <v>28</v>
      </c>
      <c r="B277" s="3" t="s">
        <v>6</v>
      </c>
      <c r="C277" t="s">
        <v>96</v>
      </c>
      <c r="D277" s="4">
        <v>75</v>
      </c>
      <c r="E277" s="7">
        <f t="shared" si="35"/>
        <v>1.9349845201238391E-2</v>
      </c>
      <c r="F277">
        <v>206503.94019999937</v>
      </c>
      <c r="G277">
        <f t="shared" si="34"/>
        <v>3995.8192763157776</v>
      </c>
    </row>
    <row r="278" spans="1:10" x14ac:dyDescent="0.25">
      <c r="A278" s="3" t="s">
        <v>28</v>
      </c>
      <c r="B278" s="3" t="s">
        <v>6</v>
      </c>
      <c r="C278" t="s">
        <v>97</v>
      </c>
      <c r="D278" s="4">
        <v>120</v>
      </c>
      <c r="E278" s="7">
        <f t="shared" si="35"/>
        <v>3.0959752321981424E-2</v>
      </c>
      <c r="F278">
        <v>206503.94019999937</v>
      </c>
      <c r="G278">
        <f t="shared" si="34"/>
        <v>6393.3108421052439</v>
      </c>
    </row>
    <row r="279" spans="1:10" x14ac:dyDescent="0.25">
      <c r="A279" s="3" t="s">
        <v>28</v>
      </c>
      <c r="B279" s="3" t="s">
        <v>6</v>
      </c>
      <c r="C279" t="s">
        <v>98</v>
      </c>
      <c r="D279" s="4">
        <v>559</v>
      </c>
      <c r="E279" s="7">
        <f t="shared" si="35"/>
        <v>0.14422084623323014</v>
      </c>
      <c r="F279">
        <v>206503.94019999937</v>
      </c>
      <c r="G279">
        <f t="shared" si="34"/>
        <v>29782.173006140263</v>
      </c>
    </row>
    <row r="280" spans="1:10" x14ac:dyDescent="0.25">
      <c r="A280" s="3" t="s">
        <v>28</v>
      </c>
      <c r="B280" s="3" t="s">
        <v>6</v>
      </c>
      <c r="C280" t="s">
        <v>99</v>
      </c>
      <c r="D280" s="4">
        <v>391</v>
      </c>
      <c r="E280" s="7">
        <f t="shared" si="35"/>
        <v>0.10087719298245613</v>
      </c>
      <c r="F280">
        <v>206503.94019999937</v>
      </c>
      <c r="G280">
        <f t="shared" si="34"/>
        <v>20831.537827192918</v>
      </c>
    </row>
    <row r="281" spans="1:10" x14ac:dyDescent="0.25">
      <c r="A281" s="3" t="s">
        <v>28</v>
      </c>
      <c r="B281" s="3" t="s">
        <v>6</v>
      </c>
      <c r="C281" t="s">
        <v>100</v>
      </c>
      <c r="D281" s="4">
        <v>80</v>
      </c>
      <c r="E281" s="7">
        <f t="shared" si="35"/>
        <v>2.063983488132095E-2</v>
      </c>
      <c r="F281">
        <v>206503.94019999937</v>
      </c>
      <c r="G281">
        <f t="shared" si="34"/>
        <v>4262.2072280701623</v>
      </c>
    </row>
    <row r="282" spans="1:10" x14ac:dyDescent="0.25">
      <c r="A282" s="3" t="s">
        <v>28</v>
      </c>
      <c r="B282" s="3" t="s">
        <v>6</v>
      </c>
      <c r="C282" t="s">
        <v>101</v>
      </c>
      <c r="D282" s="4">
        <v>757</v>
      </c>
      <c r="E282" s="7">
        <f t="shared" si="35"/>
        <v>0.19530443756449947</v>
      </c>
      <c r="F282">
        <v>206503.94019999937</v>
      </c>
      <c r="G282">
        <f t="shared" si="34"/>
        <v>40331.135895613908</v>
      </c>
    </row>
    <row r="283" spans="1:10" x14ac:dyDescent="0.25">
      <c r="A283" s="3" t="s">
        <v>28</v>
      </c>
      <c r="B283" s="3" t="s">
        <v>6</v>
      </c>
      <c r="C283" t="s">
        <v>102</v>
      </c>
      <c r="D283" s="4">
        <v>164</v>
      </c>
      <c r="E283" s="7">
        <f t="shared" si="35"/>
        <v>4.2311661506707947E-2</v>
      </c>
      <c r="F283">
        <v>206503.94019999937</v>
      </c>
      <c r="G283">
        <f t="shared" si="34"/>
        <v>8737.5248175438337</v>
      </c>
    </row>
    <row r="284" spans="1:10" x14ac:dyDescent="0.25">
      <c r="A284" s="3" t="s">
        <v>28</v>
      </c>
      <c r="B284" s="3" t="s">
        <v>6</v>
      </c>
      <c r="C284" t="s">
        <v>103</v>
      </c>
      <c r="D284" s="4">
        <v>427</v>
      </c>
      <c r="E284" s="7">
        <f t="shared" si="35"/>
        <v>0.11016511867905057</v>
      </c>
      <c r="F284">
        <v>206503.94019999937</v>
      </c>
      <c r="G284">
        <f t="shared" si="34"/>
        <v>22749.531079824494</v>
      </c>
    </row>
    <row r="285" spans="1:10" x14ac:dyDescent="0.25">
      <c r="A285" s="3" t="s">
        <v>28</v>
      </c>
      <c r="B285" s="3" t="s">
        <v>6</v>
      </c>
      <c r="C285" t="s">
        <v>255</v>
      </c>
      <c r="D285" s="4">
        <v>180</v>
      </c>
      <c r="E285" s="7">
        <f t="shared" si="35"/>
        <v>4.6439628482972138E-2</v>
      </c>
      <c r="F285">
        <v>206503.94019999937</v>
      </c>
      <c r="G285">
        <f t="shared" si="34"/>
        <v>9589.9662631578667</v>
      </c>
    </row>
    <row r="286" spans="1:10" x14ac:dyDescent="0.25">
      <c r="A286" s="3" t="s">
        <v>28</v>
      </c>
      <c r="B286" s="3" t="s">
        <v>6</v>
      </c>
      <c r="C286" t="s">
        <v>104</v>
      </c>
      <c r="D286" s="4">
        <v>120</v>
      </c>
      <c r="E286" s="7">
        <f t="shared" si="35"/>
        <v>3.0959752321981424E-2</v>
      </c>
      <c r="F286">
        <v>206503.94019999937</v>
      </c>
      <c r="G286">
        <f t="shared" si="34"/>
        <v>6393.3108421052439</v>
      </c>
    </row>
    <row r="287" spans="1:10" x14ac:dyDescent="0.25">
      <c r="A287" s="3" t="s">
        <v>28</v>
      </c>
      <c r="B287" s="3" t="s">
        <v>6</v>
      </c>
      <c r="C287" t="s">
        <v>105</v>
      </c>
      <c r="D287" s="4">
        <v>352</v>
      </c>
      <c r="E287" s="7">
        <f t="shared" si="35"/>
        <v>9.0815273477812181E-2</v>
      </c>
      <c r="F287">
        <v>206503.94019999937</v>
      </c>
      <c r="G287">
        <f t="shared" si="34"/>
        <v>18753.711803508715</v>
      </c>
    </row>
    <row r="288" spans="1:10" x14ac:dyDescent="0.25">
      <c r="A288" s="3" t="s">
        <v>28</v>
      </c>
      <c r="B288" s="3" t="s">
        <v>6</v>
      </c>
      <c r="C288" t="s">
        <v>106</v>
      </c>
      <c r="D288" s="4">
        <v>266</v>
      </c>
      <c r="E288" s="7">
        <f t="shared" si="35"/>
        <v>6.8627450980392163E-2</v>
      </c>
      <c r="F288">
        <v>206503.94019999937</v>
      </c>
      <c r="G288">
        <f t="shared" si="34"/>
        <v>14171.839033333292</v>
      </c>
    </row>
    <row r="289" spans="1:10" s="9" customFormat="1" x14ac:dyDescent="0.25">
      <c r="A289" s="8" t="s">
        <v>28</v>
      </c>
      <c r="B289" s="8" t="s">
        <v>7</v>
      </c>
      <c r="C289" s="9" t="s">
        <v>107</v>
      </c>
      <c r="D289" s="10">
        <v>437</v>
      </c>
      <c r="E289" s="20">
        <f>+D289/SUM($D$289:$D$295)</f>
        <v>0.10139211136890951</v>
      </c>
      <c r="F289" s="9">
        <v>616862.21870000055</v>
      </c>
      <c r="G289" s="9">
        <f t="shared" si="34"/>
        <v>62544.962777703069</v>
      </c>
      <c r="H289" s="18">
        <f>+SUM(E289:E295)</f>
        <v>0.99999999999999989</v>
      </c>
      <c r="I289" s="9">
        <f>+SUM(G289:G295)</f>
        <v>616862.21870000055</v>
      </c>
      <c r="J289" s="9" t="b">
        <f>+I289=F289</f>
        <v>1</v>
      </c>
    </row>
    <row r="290" spans="1:10" x14ac:dyDescent="0.25">
      <c r="A290" s="3" t="s">
        <v>28</v>
      </c>
      <c r="B290" s="3" t="s">
        <v>7</v>
      </c>
      <c r="C290" t="s">
        <v>108</v>
      </c>
      <c r="D290" s="4">
        <v>660</v>
      </c>
      <c r="E290" s="7">
        <f t="shared" ref="E290:E295" si="36">+D290/SUM($D$289:$D$295)</f>
        <v>0.1531322505800464</v>
      </c>
      <c r="F290">
        <v>616862.21870000055</v>
      </c>
      <c r="G290">
        <f t="shared" si="34"/>
        <v>94461.49984733187</v>
      </c>
    </row>
    <row r="291" spans="1:10" x14ac:dyDescent="0.25">
      <c r="A291" s="3" t="s">
        <v>28</v>
      </c>
      <c r="B291" s="3" t="s">
        <v>7</v>
      </c>
      <c r="C291" t="s">
        <v>7</v>
      </c>
      <c r="D291" s="4">
        <v>926</v>
      </c>
      <c r="E291" s="7">
        <f t="shared" si="36"/>
        <v>0.2148491879350348</v>
      </c>
      <c r="F291">
        <v>616862.21870000055</v>
      </c>
      <c r="G291">
        <f t="shared" si="34"/>
        <v>132532.34675549896</v>
      </c>
    </row>
    <row r="292" spans="1:10" x14ac:dyDescent="0.25">
      <c r="A292" s="3" t="s">
        <v>28</v>
      </c>
      <c r="B292" s="3" t="s">
        <v>7</v>
      </c>
      <c r="C292" t="s">
        <v>109</v>
      </c>
      <c r="D292" s="4">
        <v>647</v>
      </c>
      <c r="E292" s="7">
        <f t="shared" si="36"/>
        <v>0.15011600928074245</v>
      </c>
      <c r="F292">
        <v>616862.21870000055</v>
      </c>
      <c r="G292">
        <f t="shared" si="34"/>
        <v>92600.894547308664</v>
      </c>
    </row>
    <row r="293" spans="1:10" x14ac:dyDescent="0.25">
      <c r="A293" s="3" t="s">
        <v>28</v>
      </c>
      <c r="B293" s="3" t="s">
        <v>7</v>
      </c>
      <c r="C293" t="s">
        <v>110</v>
      </c>
      <c r="D293" s="4">
        <v>648</v>
      </c>
      <c r="E293" s="7">
        <f t="shared" si="36"/>
        <v>0.15034802784222737</v>
      </c>
      <c r="F293">
        <v>616862.21870000055</v>
      </c>
      <c r="G293">
        <f t="shared" si="34"/>
        <v>92744.018031925836</v>
      </c>
    </row>
    <row r="294" spans="1:10" x14ac:dyDescent="0.25">
      <c r="A294" s="3" t="s">
        <v>28</v>
      </c>
      <c r="B294" s="3" t="s">
        <v>7</v>
      </c>
      <c r="C294" t="s">
        <v>111</v>
      </c>
      <c r="D294" s="4">
        <v>413</v>
      </c>
      <c r="E294" s="7">
        <f t="shared" si="36"/>
        <v>9.5823665893271459E-2</v>
      </c>
      <c r="F294">
        <v>616862.21870000055</v>
      </c>
      <c r="G294">
        <f t="shared" si="34"/>
        <v>59109.999146891001</v>
      </c>
    </row>
    <row r="295" spans="1:10" x14ac:dyDescent="0.25">
      <c r="A295" s="3" t="s">
        <v>28</v>
      </c>
      <c r="B295" s="3" t="s">
        <v>7</v>
      </c>
      <c r="C295" t="s">
        <v>112</v>
      </c>
      <c r="D295" s="4">
        <v>579</v>
      </c>
      <c r="E295" s="7">
        <f t="shared" si="36"/>
        <v>0.13433874709976798</v>
      </c>
      <c r="F295">
        <v>616862.21870000055</v>
      </c>
      <c r="G295">
        <f t="shared" si="34"/>
        <v>82868.497593341133</v>
      </c>
    </row>
    <row r="296" spans="1:10" s="9" customFormat="1" x14ac:dyDescent="0.25">
      <c r="A296" s="8" t="s">
        <v>28</v>
      </c>
      <c r="B296" s="8" t="s">
        <v>8</v>
      </c>
      <c r="C296" s="9" t="s">
        <v>114</v>
      </c>
      <c r="D296" s="10">
        <v>78</v>
      </c>
      <c r="E296" s="20">
        <f>+D296/SUM($D$296:$D$297)</f>
        <v>0.39795918367346939</v>
      </c>
      <c r="F296" s="9">
        <v>12067.559999999983</v>
      </c>
      <c r="G296" s="9">
        <f t="shared" si="34"/>
        <v>4802.3963265306056</v>
      </c>
      <c r="H296" s="18">
        <f>+SUM(E296:E297)</f>
        <v>1</v>
      </c>
      <c r="I296" s="9">
        <f>+SUM(G296:G297)</f>
        <v>12067.559999999983</v>
      </c>
      <c r="J296" s="9" t="b">
        <f>+I296=F296</f>
        <v>1</v>
      </c>
    </row>
    <row r="297" spans="1:10" x14ac:dyDescent="0.25">
      <c r="A297" s="3" t="s">
        <v>28</v>
      </c>
      <c r="B297" s="3" t="s">
        <v>8</v>
      </c>
      <c r="C297" t="s">
        <v>115</v>
      </c>
      <c r="D297" s="4">
        <v>118</v>
      </c>
      <c r="E297" s="7">
        <f>+D297/SUM($D$296:$D$297)</f>
        <v>0.60204081632653061</v>
      </c>
      <c r="F297">
        <v>12067.559999999983</v>
      </c>
      <c r="G297">
        <f t="shared" si="34"/>
        <v>7265.1636734693775</v>
      </c>
    </row>
    <row r="298" spans="1:10" s="9" customFormat="1" x14ac:dyDescent="0.25">
      <c r="A298" s="8" t="s">
        <v>28</v>
      </c>
      <c r="B298" s="8" t="s">
        <v>9</v>
      </c>
      <c r="C298" s="9" t="s">
        <v>116</v>
      </c>
      <c r="D298" s="10">
        <v>111</v>
      </c>
      <c r="E298" s="20">
        <f>+D298/SUM($D$298:$D$321)</f>
        <v>7.0516485610825231E-3</v>
      </c>
      <c r="F298" s="9">
        <v>725665.68020000262</v>
      </c>
      <c r="G298" s="9">
        <f t="shared" si="34"/>
        <v>5117.1393496093187</v>
      </c>
      <c r="H298" s="18">
        <f>+SUM(E298:E321)</f>
        <v>1.0000000000000002</v>
      </c>
      <c r="I298" s="9">
        <f>+SUM(G298:G321)</f>
        <v>725665.68020000262</v>
      </c>
      <c r="J298" s="9" t="b">
        <f>+I298=F298</f>
        <v>1</v>
      </c>
    </row>
    <row r="299" spans="1:10" x14ac:dyDescent="0.25">
      <c r="A299" s="3" t="s">
        <v>28</v>
      </c>
      <c r="B299" s="3" t="s">
        <v>9</v>
      </c>
      <c r="C299" t="s">
        <v>117</v>
      </c>
      <c r="D299" s="4">
        <v>27</v>
      </c>
      <c r="E299" s="7">
        <f t="shared" ref="E299:E321" si="37">+D299/SUM($D$298:$D$321)</f>
        <v>1.7152658662092624E-3</v>
      </c>
      <c r="F299">
        <v>725665.68020000262</v>
      </c>
      <c r="G299">
        <f t="shared" si="34"/>
        <v>1244.7095715265912</v>
      </c>
    </row>
    <row r="300" spans="1:10" x14ac:dyDescent="0.25">
      <c r="A300" s="3" t="s">
        <v>28</v>
      </c>
      <c r="B300" s="3" t="s">
        <v>9</v>
      </c>
      <c r="C300" t="s">
        <v>118</v>
      </c>
      <c r="D300" s="4">
        <v>114</v>
      </c>
      <c r="E300" s="7">
        <f t="shared" si="37"/>
        <v>7.2422336573279966E-3</v>
      </c>
      <c r="F300">
        <v>725665.68020000262</v>
      </c>
      <c r="G300">
        <f t="shared" si="34"/>
        <v>5255.4404131122737</v>
      </c>
    </row>
    <row r="301" spans="1:10" x14ac:dyDescent="0.25">
      <c r="A301" s="3" t="s">
        <v>28</v>
      </c>
      <c r="B301" s="3" t="s">
        <v>9</v>
      </c>
      <c r="C301" t="s">
        <v>119</v>
      </c>
      <c r="D301" s="4">
        <v>632</v>
      </c>
      <c r="E301" s="7">
        <f t="shared" si="37"/>
        <v>4.0149926942379774E-2</v>
      </c>
      <c r="F301">
        <v>725665.68020000262</v>
      </c>
      <c r="G301">
        <f t="shared" si="34"/>
        <v>29135.424044622428</v>
      </c>
    </row>
    <row r="302" spans="1:10" x14ac:dyDescent="0.25">
      <c r="A302" s="3" t="s">
        <v>28</v>
      </c>
      <c r="B302" s="3" t="s">
        <v>9</v>
      </c>
      <c r="C302" t="s">
        <v>256</v>
      </c>
      <c r="D302" s="4">
        <v>17</v>
      </c>
      <c r="E302" s="7">
        <f t="shared" si="37"/>
        <v>1.0799822120576839E-3</v>
      </c>
      <c r="F302">
        <v>725665.68020000262</v>
      </c>
      <c r="G302">
        <f t="shared" si="34"/>
        <v>783.70602651674267</v>
      </c>
    </row>
    <row r="303" spans="1:10" x14ac:dyDescent="0.25">
      <c r="A303" s="3" t="s">
        <v>28</v>
      </c>
      <c r="B303" s="3" t="s">
        <v>9</v>
      </c>
      <c r="C303" t="s">
        <v>120</v>
      </c>
      <c r="D303" s="4">
        <v>1989</v>
      </c>
      <c r="E303" s="7">
        <f t="shared" si="37"/>
        <v>0.12635791881074901</v>
      </c>
      <c r="F303">
        <v>725665.68020000262</v>
      </c>
      <c r="G303">
        <f t="shared" si="34"/>
        <v>91693.605102458881</v>
      </c>
    </row>
    <row r="304" spans="1:10" x14ac:dyDescent="0.25">
      <c r="A304" s="3" t="s">
        <v>28</v>
      </c>
      <c r="B304" s="3" t="s">
        <v>9</v>
      </c>
      <c r="C304" t="s">
        <v>121</v>
      </c>
      <c r="D304" s="4">
        <v>1379</v>
      </c>
      <c r="E304" s="7">
        <f t="shared" si="37"/>
        <v>8.7605615907502696E-2</v>
      </c>
      <c r="F304">
        <v>725665.68020000262</v>
      </c>
      <c r="G304">
        <f t="shared" si="34"/>
        <v>63572.388856858117</v>
      </c>
    </row>
    <row r="305" spans="1:7" x14ac:dyDescent="0.25">
      <c r="A305" s="3" t="s">
        <v>28</v>
      </c>
      <c r="B305" s="3" t="s">
        <v>9</v>
      </c>
      <c r="C305" t="s">
        <v>122</v>
      </c>
      <c r="D305" s="4">
        <v>372</v>
      </c>
      <c r="E305" s="7">
        <f t="shared" si="37"/>
        <v>2.3632551934438726E-2</v>
      </c>
      <c r="F305">
        <v>725665.68020000262</v>
      </c>
      <c r="G305">
        <f t="shared" si="34"/>
        <v>17149.331874366366</v>
      </c>
    </row>
    <row r="306" spans="1:7" x14ac:dyDescent="0.25">
      <c r="A306" s="3" t="s">
        <v>28</v>
      </c>
      <c r="B306" s="3" t="s">
        <v>9</v>
      </c>
      <c r="C306" t="s">
        <v>123</v>
      </c>
      <c r="D306" s="4">
        <v>178</v>
      </c>
      <c r="E306" s="7">
        <f t="shared" si="37"/>
        <v>1.1308049043898101E-2</v>
      </c>
      <c r="F306">
        <v>725665.68020000262</v>
      </c>
      <c r="G306">
        <f t="shared" si="34"/>
        <v>8205.8631011753041</v>
      </c>
    </row>
    <row r="307" spans="1:7" x14ac:dyDescent="0.25">
      <c r="A307" s="3" t="s">
        <v>28</v>
      </c>
      <c r="B307" s="3" t="s">
        <v>9</v>
      </c>
      <c r="C307" t="s">
        <v>124</v>
      </c>
      <c r="D307" s="4">
        <v>103</v>
      </c>
      <c r="E307" s="7">
        <f t="shared" si="37"/>
        <v>6.5434216377612603E-3</v>
      </c>
      <c r="F307">
        <v>725665.68020000262</v>
      </c>
      <c r="G307">
        <f t="shared" si="34"/>
        <v>4748.3365136014399</v>
      </c>
    </row>
    <row r="308" spans="1:7" x14ac:dyDescent="0.25">
      <c r="A308" s="3" t="s">
        <v>28</v>
      </c>
      <c r="B308" s="3" t="s">
        <v>9</v>
      </c>
      <c r="C308" t="s">
        <v>125</v>
      </c>
      <c r="D308" s="4">
        <v>5411</v>
      </c>
      <c r="E308" s="7">
        <f t="shared" si="37"/>
        <v>0.3437519852614192</v>
      </c>
      <c r="F308">
        <v>725665.68020000262</v>
      </c>
      <c r="G308">
        <f t="shared" si="34"/>
        <v>249449.01820482904</v>
      </c>
    </row>
    <row r="309" spans="1:7" x14ac:dyDescent="0.25">
      <c r="A309" s="3" t="s">
        <v>28</v>
      </c>
      <c r="B309" s="3" t="s">
        <v>9</v>
      </c>
      <c r="C309" t="s">
        <v>126</v>
      </c>
      <c r="D309" s="4">
        <v>115</v>
      </c>
      <c r="E309" s="7">
        <f t="shared" si="37"/>
        <v>7.3057620227431549E-3</v>
      </c>
      <c r="F309">
        <v>725665.68020000262</v>
      </c>
      <c r="G309">
        <f t="shared" si="34"/>
        <v>5301.5407676132581</v>
      </c>
    </row>
    <row r="310" spans="1:7" x14ac:dyDescent="0.25">
      <c r="A310" s="3" t="s">
        <v>28</v>
      </c>
      <c r="B310" s="3" t="s">
        <v>9</v>
      </c>
      <c r="C310" t="s">
        <v>127</v>
      </c>
      <c r="D310" s="4">
        <v>113</v>
      </c>
      <c r="E310" s="7">
        <f t="shared" si="37"/>
        <v>7.178705291912839E-3</v>
      </c>
      <c r="F310">
        <v>725665.68020000262</v>
      </c>
      <c r="G310">
        <f t="shared" si="34"/>
        <v>5209.3400586112884</v>
      </c>
    </row>
    <row r="311" spans="1:7" x14ac:dyDescent="0.25">
      <c r="A311" s="3" t="s">
        <v>28</v>
      </c>
      <c r="B311" s="3" t="s">
        <v>9</v>
      </c>
      <c r="C311" t="s">
        <v>128</v>
      </c>
      <c r="D311" s="4">
        <v>580</v>
      </c>
      <c r="E311" s="7">
        <f t="shared" si="37"/>
        <v>3.6846451940791565E-2</v>
      </c>
      <c r="F311">
        <v>725665.68020000262</v>
      </c>
      <c r="G311">
        <f t="shared" si="34"/>
        <v>26738.205610571218</v>
      </c>
    </row>
    <row r="312" spans="1:7" x14ac:dyDescent="0.25">
      <c r="A312" s="3" t="s">
        <v>28</v>
      </c>
      <c r="B312" s="3" t="s">
        <v>9</v>
      </c>
      <c r="C312" t="s">
        <v>129</v>
      </c>
      <c r="D312" s="4">
        <v>301</v>
      </c>
      <c r="E312" s="7">
        <f t="shared" si="37"/>
        <v>1.912203798996252E-2</v>
      </c>
      <c r="F312">
        <v>725665.68020000262</v>
      </c>
      <c r="G312">
        <f t="shared" si="34"/>
        <v>13876.206704796443</v>
      </c>
    </row>
    <row r="313" spans="1:7" x14ac:dyDescent="0.25">
      <c r="A313" s="3" t="s">
        <v>28</v>
      </c>
      <c r="B313" s="3" t="s">
        <v>9</v>
      </c>
      <c r="C313" t="s">
        <v>130</v>
      </c>
      <c r="D313" s="4">
        <v>86</v>
      </c>
      <c r="E313" s="7">
        <f t="shared" si="37"/>
        <v>5.463439425703577E-3</v>
      </c>
      <c r="F313">
        <v>725665.68020000262</v>
      </c>
      <c r="G313">
        <f t="shared" si="34"/>
        <v>3964.630487084698</v>
      </c>
    </row>
    <row r="314" spans="1:7" x14ac:dyDescent="0.25">
      <c r="A314" s="3" t="s">
        <v>28</v>
      </c>
      <c r="B314" s="3" t="s">
        <v>9</v>
      </c>
      <c r="C314" t="s">
        <v>131</v>
      </c>
      <c r="D314" s="4">
        <v>353</v>
      </c>
      <c r="E314" s="7">
        <f t="shared" si="37"/>
        <v>2.2425512991550729E-2</v>
      </c>
      <c r="F314">
        <v>725665.68020000262</v>
      </c>
      <c r="G314">
        <f t="shared" si="34"/>
        <v>16273.425138847655</v>
      </c>
    </row>
    <row r="315" spans="1:7" x14ac:dyDescent="0.25">
      <c r="A315" s="3" t="s">
        <v>28</v>
      </c>
      <c r="B315" s="3" t="s">
        <v>9</v>
      </c>
      <c r="C315" t="s">
        <v>132</v>
      </c>
      <c r="D315" s="4">
        <v>155</v>
      </c>
      <c r="E315" s="7">
        <f t="shared" si="37"/>
        <v>9.84689663934947E-3</v>
      </c>
      <c r="F315">
        <v>725665.68020000262</v>
      </c>
      <c r="G315">
        <f t="shared" si="34"/>
        <v>7145.554947652653</v>
      </c>
    </row>
    <row r="316" spans="1:7" x14ac:dyDescent="0.25">
      <c r="A316" s="3" t="s">
        <v>28</v>
      </c>
      <c r="B316" s="3" t="s">
        <v>9</v>
      </c>
      <c r="C316" t="s">
        <v>133</v>
      </c>
      <c r="D316" s="4">
        <v>540</v>
      </c>
      <c r="E316" s="7">
        <f t="shared" si="37"/>
        <v>3.430531732418525E-2</v>
      </c>
      <c r="F316">
        <v>725665.68020000262</v>
      </c>
      <c r="G316">
        <f t="shared" si="34"/>
        <v>24894.191430531824</v>
      </c>
    </row>
    <row r="317" spans="1:7" x14ac:dyDescent="0.25">
      <c r="A317" s="3" t="s">
        <v>28</v>
      </c>
      <c r="B317" s="3" t="s">
        <v>9</v>
      </c>
      <c r="C317" t="s">
        <v>135</v>
      </c>
      <c r="D317" s="4">
        <v>1539</v>
      </c>
      <c r="E317" s="7">
        <f t="shared" si="37"/>
        <v>9.7770154373927956E-2</v>
      </c>
      <c r="F317">
        <v>725665.68020000262</v>
      </c>
      <c r="G317">
        <f t="shared" si="34"/>
        <v>70948.445577015693</v>
      </c>
    </row>
    <row r="318" spans="1:7" x14ac:dyDescent="0.25">
      <c r="A318" s="3" t="s">
        <v>28</v>
      </c>
      <c r="B318" s="3" t="s">
        <v>9</v>
      </c>
      <c r="C318" t="s">
        <v>136</v>
      </c>
      <c r="D318" s="4">
        <v>529</v>
      </c>
      <c r="E318" s="7">
        <f t="shared" si="37"/>
        <v>3.3606505304618513E-2</v>
      </c>
      <c r="F318">
        <v>725665.68020000262</v>
      </c>
      <c r="G318">
        <f t="shared" si="34"/>
        <v>24387.087531020989</v>
      </c>
    </row>
    <row r="319" spans="1:7" x14ac:dyDescent="0.25">
      <c r="A319" s="3" t="s">
        <v>28</v>
      </c>
      <c r="B319" s="3" t="s">
        <v>9</v>
      </c>
      <c r="C319" t="s">
        <v>137</v>
      </c>
      <c r="D319" s="4">
        <v>154</v>
      </c>
      <c r="E319" s="7">
        <f t="shared" si="37"/>
        <v>9.7833682739343116E-3</v>
      </c>
      <c r="F319">
        <v>725665.68020000262</v>
      </c>
      <c r="G319">
        <f t="shared" si="34"/>
        <v>7099.4545931516677</v>
      </c>
    </row>
    <row r="320" spans="1:7" x14ac:dyDescent="0.25">
      <c r="A320" s="3" t="s">
        <v>28</v>
      </c>
      <c r="B320" s="3" t="s">
        <v>9</v>
      </c>
      <c r="C320" t="s">
        <v>138</v>
      </c>
      <c r="D320" s="4">
        <v>790</v>
      </c>
      <c r="E320" s="7">
        <f t="shared" si="37"/>
        <v>5.0187408677974714E-2</v>
      </c>
      <c r="F320">
        <v>725665.68020000262</v>
      </c>
      <c r="G320">
        <f t="shared" si="34"/>
        <v>36419.280055778036</v>
      </c>
    </row>
    <row r="321" spans="1:10" x14ac:dyDescent="0.25">
      <c r="A321" s="3" t="s">
        <v>28</v>
      </c>
      <c r="B321" s="3" t="s">
        <v>9</v>
      </c>
      <c r="C321" t="s">
        <v>139</v>
      </c>
      <c r="D321" s="4">
        <v>153</v>
      </c>
      <c r="E321" s="7">
        <f t="shared" si="37"/>
        <v>9.7198399085191532E-3</v>
      </c>
      <c r="F321">
        <v>725665.68020000262</v>
      </c>
      <c r="G321">
        <f t="shared" si="34"/>
        <v>7053.3542386506824</v>
      </c>
    </row>
    <row r="322" spans="1:10" s="9" customFormat="1" x14ac:dyDescent="0.25">
      <c r="A322" s="8" t="s">
        <v>28</v>
      </c>
      <c r="B322" s="8" t="s">
        <v>10</v>
      </c>
      <c r="C322" s="9" t="s">
        <v>140</v>
      </c>
      <c r="D322" s="10">
        <v>347</v>
      </c>
      <c r="E322" s="20">
        <f>+D322/SUM($D$322:$D$327)</f>
        <v>7.4543501611170779E-2</v>
      </c>
      <c r="F322" s="9">
        <v>559053.29080000054</v>
      </c>
      <c r="G322" s="9">
        <f t="shared" si="34"/>
        <v>41673.789883480167</v>
      </c>
      <c r="H322" s="18">
        <f>+SUM(E322:E327)</f>
        <v>1</v>
      </c>
      <c r="I322" s="9">
        <f>+SUM(G322:G327)</f>
        <v>559053.29080000054</v>
      </c>
      <c r="J322" s="9" t="b">
        <f>+I322=F322</f>
        <v>1</v>
      </c>
    </row>
    <row r="323" spans="1:10" x14ac:dyDescent="0.25">
      <c r="A323" s="3" t="s">
        <v>28</v>
      </c>
      <c r="B323" s="3" t="s">
        <v>10</v>
      </c>
      <c r="C323" t="s">
        <v>141</v>
      </c>
      <c r="D323" s="4">
        <v>1091</v>
      </c>
      <c r="E323" s="7">
        <f t="shared" ref="E323:E327" si="38">+D323/SUM($D$322:$D$327)</f>
        <v>0.23437164339419977</v>
      </c>
      <c r="F323">
        <v>559053.29080000054</v>
      </c>
      <c r="G323">
        <f t="shared" si="34"/>
        <v>131026.23850973159</v>
      </c>
    </row>
    <row r="324" spans="1:10" x14ac:dyDescent="0.25">
      <c r="A324" s="3" t="s">
        <v>28</v>
      </c>
      <c r="B324" s="3" t="s">
        <v>10</v>
      </c>
      <c r="C324" t="s">
        <v>142</v>
      </c>
      <c r="D324" s="4">
        <v>1065</v>
      </c>
      <c r="E324" s="7">
        <f t="shared" si="38"/>
        <v>0.22878625134264233</v>
      </c>
      <c r="F324">
        <v>559053.29080000054</v>
      </c>
      <c r="G324">
        <f t="shared" si="34"/>
        <v>127903.70670290024</v>
      </c>
    </row>
    <row r="325" spans="1:10" x14ac:dyDescent="0.25">
      <c r="A325" s="3" t="s">
        <v>28</v>
      </c>
      <c r="B325" s="3" t="s">
        <v>10</v>
      </c>
      <c r="C325" t="s">
        <v>143</v>
      </c>
      <c r="D325" s="4">
        <v>1617</v>
      </c>
      <c r="E325" s="7">
        <f t="shared" si="38"/>
        <v>0.3473684210526316</v>
      </c>
      <c r="F325">
        <v>559053.29080000054</v>
      </c>
      <c r="G325">
        <f t="shared" si="34"/>
        <v>194197.45890947388</v>
      </c>
    </row>
    <row r="326" spans="1:10" x14ac:dyDescent="0.25">
      <c r="A326" s="3" t="s">
        <v>28</v>
      </c>
      <c r="B326" s="3" t="s">
        <v>10</v>
      </c>
      <c r="C326" t="s">
        <v>144</v>
      </c>
      <c r="D326" s="4">
        <v>268</v>
      </c>
      <c r="E326" s="7">
        <f t="shared" si="38"/>
        <v>5.7572502685284639E-2</v>
      </c>
      <c r="F326">
        <v>559053.29080000054</v>
      </c>
      <c r="G326">
        <f t="shared" si="34"/>
        <v>32186.097085800244</v>
      </c>
    </row>
    <row r="327" spans="1:10" x14ac:dyDescent="0.25">
      <c r="A327" s="3" t="s">
        <v>28</v>
      </c>
      <c r="B327" s="3" t="s">
        <v>10</v>
      </c>
      <c r="C327" t="s">
        <v>145</v>
      </c>
      <c r="D327" s="4">
        <v>267</v>
      </c>
      <c r="E327" s="7">
        <f t="shared" si="38"/>
        <v>5.735767991407089E-2</v>
      </c>
      <c r="F327">
        <v>559053.29080000054</v>
      </c>
      <c r="G327">
        <f t="shared" si="34"/>
        <v>32065.999708614425</v>
      </c>
    </row>
    <row r="328" spans="1:10" s="9" customFormat="1" x14ac:dyDescent="0.25">
      <c r="A328" s="8" t="s">
        <v>28</v>
      </c>
      <c r="B328" s="8" t="s">
        <v>11</v>
      </c>
      <c r="C328" s="9" t="s">
        <v>146</v>
      </c>
      <c r="D328" s="10">
        <v>985</v>
      </c>
      <c r="E328" s="20">
        <f>+D328/SUM($D$328:$D$343)</f>
        <v>0.10477608765024997</v>
      </c>
      <c r="F328" s="9">
        <v>400593.08980000066</v>
      </c>
      <c r="G328" s="9">
        <f t="shared" si="34"/>
        <v>41972.576688969326</v>
      </c>
      <c r="H328" s="18">
        <f>+SUM(E328:E343)</f>
        <v>0.99999999999999989</v>
      </c>
      <c r="I328" s="9">
        <f>+SUM(G328:G343)</f>
        <v>400593.0898000006</v>
      </c>
      <c r="J328" s="9" t="b">
        <f>+I328=F328</f>
        <v>1</v>
      </c>
    </row>
    <row r="329" spans="1:10" x14ac:dyDescent="0.25">
      <c r="A329" s="3" t="s">
        <v>28</v>
      </c>
      <c r="B329" s="3" t="s">
        <v>11</v>
      </c>
      <c r="C329" t="s">
        <v>147</v>
      </c>
      <c r="D329" s="4">
        <v>461</v>
      </c>
      <c r="E329" s="7">
        <f t="shared" ref="E329:E343" si="39">+D329/SUM($D$328:$D$343)</f>
        <v>4.9037336453568767E-2</v>
      </c>
      <c r="F329">
        <v>400593.08980000066</v>
      </c>
      <c r="G329">
        <f t="shared" si="34"/>
        <v>19644.018125497318</v>
      </c>
    </row>
    <row r="330" spans="1:10" x14ac:dyDescent="0.25">
      <c r="A330" s="3" t="s">
        <v>28</v>
      </c>
      <c r="B330" s="3" t="s">
        <v>11</v>
      </c>
      <c r="C330" t="s">
        <v>148</v>
      </c>
      <c r="D330" s="4">
        <v>334</v>
      </c>
      <c r="E330" s="7">
        <f t="shared" si="39"/>
        <v>3.5528135304754814E-2</v>
      </c>
      <c r="F330">
        <v>400593.08980000066</v>
      </c>
      <c r="G330">
        <f t="shared" si="34"/>
        <v>14232.325496564219</v>
      </c>
    </row>
    <row r="331" spans="1:10" x14ac:dyDescent="0.25">
      <c r="A331" s="3" t="s">
        <v>28</v>
      </c>
      <c r="B331" s="3" t="s">
        <v>11</v>
      </c>
      <c r="C331" t="s">
        <v>149</v>
      </c>
      <c r="D331" s="4">
        <v>307</v>
      </c>
      <c r="E331" s="7">
        <f t="shared" si="39"/>
        <v>3.2656100414849482E-2</v>
      </c>
      <c r="F331">
        <v>400593.08980000066</v>
      </c>
      <c r="G331">
        <f t="shared" si="34"/>
        <v>13081.808166003637</v>
      </c>
    </row>
    <row r="332" spans="1:10" x14ac:dyDescent="0.25">
      <c r="A332" s="3" t="s">
        <v>28</v>
      </c>
      <c r="B332" s="3" t="s">
        <v>11</v>
      </c>
      <c r="C332" t="s">
        <v>150</v>
      </c>
      <c r="D332" s="4">
        <v>689</v>
      </c>
      <c r="E332" s="7">
        <f t="shared" si="39"/>
        <v>7.3290075523880435E-2</v>
      </c>
      <c r="F332">
        <v>400593.08980000066</v>
      </c>
      <c r="G332">
        <f t="shared" si="34"/>
        <v>29359.497805786665</v>
      </c>
    </row>
    <row r="333" spans="1:10" x14ac:dyDescent="0.25">
      <c r="A333" s="3" t="s">
        <v>28</v>
      </c>
      <c r="B333" s="3" t="s">
        <v>11</v>
      </c>
      <c r="C333" t="s">
        <v>151</v>
      </c>
      <c r="D333" s="4">
        <v>629</v>
      </c>
      <c r="E333" s="7">
        <f t="shared" si="39"/>
        <v>6.6907775768535266E-2</v>
      </c>
      <c r="F333">
        <v>400593.08980000066</v>
      </c>
      <c r="G333">
        <f t="shared" si="34"/>
        <v>26802.792626763156</v>
      </c>
    </row>
    <row r="334" spans="1:10" x14ac:dyDescent="0.25">
      <c r="A334" s="3" t="s">
        <v>28</v>
      </c>
      <c r="B334" s="3" t="s">
        <v>11</v>
      </c>
      <c r="C334" t="s">
        <v>11</v>
      </c>
      <c r="D334" s="4">
        <v>2315</v>
      </c>
      <c r="E334" s="7">
        <f t="shared" si="39"/>
        <v>0.24625039889373471</v>
      </c>
      <c r="F334">
        <v>400593.08980000066</v>
      </c>
      <c r="G334">
        <f t="shared" si="34"/>
        <v>98646.208157323854</v>
      </c>
    </row>
    <row r="335" spans="1:10" x14ac:dyDescent="0.25">
      <c r="A335" s="3" t="s">
        <v>28</v>
      </c>
      <c r="B335" s="3" t="s">
        <v>11</v>
      </c>
      <c r="C335" t="s">
        <v>152</v>
      </c>
      <c r="D335" s="4">
        <v>420</v>
      </c>
      <c r="E335" s="7">
        <f t="shared" si="39"/>
        <v>4.4676098287416234E-2</v>
      </c>
      <c r="F335">
        <v>400593.08980000066</v>
      </c>
      <c r="G335">
        <f t="shared" si="34"/>
        <v>17896.936253164586</v>
      </c>
    </row>
    <row r="336" spans="1:10" x14ac:dyDescent="0.25">
      <c r="A336" s="3" t="s">
        <v>28</v>
      </c>
      <c r="B336" s="3" t="s">
        <v>11</v>
      </c>
      <c r="C336" t="s">
        <v>153</v>
      </c>
      <c r="D336" s="4">
        <v>179</v>
      </c>
      <c r="E336" s="7">
        <f t="shared" si="39"/>
        <v>1.904052760344644E-2</v>
      </c>
      <c r="F336">
        <v>400593.08980000066</v>
      </c>
      <c r="G336">
        <f t="shared" si="34"/>
        <v>7627.5037840868108</v>
      </c>
    </row>
    <row r="337" spans="1:10" x14ac:dyDescent="0.25">
      <c r="A337" s="3" t="s">
        <v>28</v>
      </c>
      <c r="B337" s="3" t="s">
        <v>11</v>
      </c>
      <c r="C337" t="s">
        <v>154</v>
      </c>
      <c r="D337" s="4">
        <v>679</v>
      </c>
      <c r="E337" s="7">
        <f t="shared" si="39"/>
        <v>7.2226358897989576E-2</v>
      </c>
      <c r="F337">
        <v>400593.08980000066</v>
      </c>
      <c r="G337">
        <f t="shared" ref="G337:G400" si="40">+E337*F337</f>
        <v>28933.380275949414</v>
      </c>
    </row>
    <row r="338" spans="1:10" x14ac:dyDescent="0.25">
      <c r="A338" s="3" t="s">
        <v>28</v>
      </c>
      <c r="B338" s="3" t="s">
        <v>11</v>
      </c>
      <c r="C338" t="s">
        <v>155</v>
      </c>
      <c r="D338" s="4">
        <v>180</v>
      </c>
      <c r="E338" s="7">
        <f t="shared" si="39"/>
        <v>1.9146899266035529E-2</v>
      </c>
      <c r="F338">
        <v>400593.08980000066</v>
      </c>
      <c r="G338">
        <f t="shared" si="40"/>
        <v>7670.1155370705374</v>
      </c>
    </row>
    <row r="339" spans="1:10" x14ac:dyDescent="0.25">
      <c r="A339" s="3" t="s">
        <v>28</v>
      </c>
      <c r="B339" s="3" t="s">
        <v>11</v>
      </c>
      <c r="C339" t="s">
        <v>156</v>
      </c>
      <c r="D339" s="4">
        <v>456</v>
      </c>
      <c r="E339" s="7">
        <f t="shared" si="39"/>
        <v>4.8505478140623337E-2</v>
      </c>
      <c r="F339">
        <v>400593.08980000066</v>
      </c>
      <c r="G339">
        <f t="shared" si="40"/>
        <v>19430.959360578694</v>
      </c>
    </row>
    <row r="340" spans="1:10" x14ac:dyDescent="0.25">
      <c r="A340" s="3" t="s">
        <v>28</v>
      </c>
      <c r="B340" s="3" t="s">
        <v>11</v>
      </c>
      <c r="C340" t="s">
        <v>157</v>
      </c>
      <c r="D340" s="4">
        <v>254</v>
      </c>
      <c r="E340" s="7">
        <f t="shared" si="39"/>
        <v>2.7018402297627912E-2</v>
      </c>
      <c r="F340">
        <v>400593.08980000066</v>
      </c>
      <c r="G340">
        <f t="shared" si="40"/>
        <v>10823.385257866203</v>
      </c>
    </row>
    <row r="341" spans="1:10" x14ac:dyDescent="0.25">
      <c r="A341" s="3" t="s">
        <v>28</v>
      </c>
      <c r="B341" s="3" t="s">
        <v>11</v>
      </c>
      <c r="C341" t="s">
        <v>158</v>
      </c>
      <c r="D341" s="4">
        <v>930</v>
      </c>
      <c r="E341" s="7">
        <f t="shared" si="39"/>
        <v>9.8925646207850229E-2</v>
      </c>
      <c r="F341">
        <v>400593.08980000066</v>
      </c>
      <c r="G341">
        <f t="shared" si="40"/>
        <v>39628.93027486444</v>
      </c>
    </row>
    <row r="342" spans="1:10" x14ac:dyDescent="0.25">
      <c r="A342" s="3" t="s">
        <v>28</v>
      </c>
      <c r="B342" s="3" t="s">
        <v>11</v>
      </c>
      <c r="C342" t="s">
        <v>159</v>
      </c>
      <c r="D342" s="4">
        <v>239</v>
      </c>
      <c r="E342" s="7">
        <f t="shared" si="39"/>
        <v>2.5422827358791616E-2</v>
      </c>
      <c r="F342">
        <v>400593.08980000066</v>
      </c>
      <c r="G342">
        <f t="shared" si="40"/>
        <v>10184.208963110323</v>
      </c>
    </row>
    <row r="343" spans="1:10" x14ac:dyDescent="0.25">
      <c r="A343" s="3" t="s">
        <v>28</v>
      </c>
      <c r="B343" s="3" t="s">
        <v>11</v>
      </c>
      <c r="C343" t="s">
        <v>160</v>
      </c>
      <c r="D343" s="4">
        <v>344</v>
      </c>
      <c r="E343" s="7">
        <f t="shared" si="39"/>
        <v>3.6591851930645673E-2</v>
      </c>
      <c r="F343">
        <v>400593.08980000066</v>
      </c>
      <c r="G343">
        <f t="shared" si="40"/>
        <v>14658.44302640147</v>
      </c>
    </row>
    <row r="344" spans="1:10" s="9" customFormat="1" x14ac:dyDescent="0.25">
      <c r="A344" s="8" t="s">
        <v>28</v>
      </c>
      <c r="B344" s="8" t="s">
        <v>12</v>
      </c>
      <c r="C344" s="9" t="s">
        <v>161</v>
      </c>
      <c r="D344" s="10">
        <v>673</v>
      </c>
      <c r="E344" s="20">
        <f>+D344/SUM($D$344:$D$356)</f>
        <v>0.10440583307477505</v>
      </c>
      <c r="F344" s="9">
        <v>203303.97019999893</v>
      </c>
      <c r="G344" s="9">
        <f t="shared" si="40"/>
        <v>21226.12037614013</v>
      </c>
      <c r="H344" s="18">
        <f>+SUM(E344:E356)</f>
        <v>1</v>
      </c>
      <c r="I344" s="9">
        <f>+SUM(G344:G356)</f>
        <v>203303.97019999893</v>
      </c>
      <c r="J344" s="9" t="b">
        <f>+I344=F344</f>
        <v>1</v>
      </c>
    </row>
    <row r="345" spans="1:10" x14ac:dyDescent="0.25">
      <c r="A345" s="3" t="s">
        <v>28</v>
      </c>
      <c r="B345" s="3" t="s">
        <v>12</v>
      </c>
      <c r="C345" t="s">
        <v>162</v>
      </c>
      <c r="D345" s="4">
        <v>1147</v>
      </c>
      <c r="E345" s="7">
        <f t="shared" ref="E345:E356" si="41">+D345/SUM($D$344:$D$356)</f>
        <v>0.17793980763264039</v>
      </c>
      <c r="F345">
        <v>203303.97019999893</v>
      </c>
      <c r="G345">
        <f t="shared" si="40"/>
        <v>36175.869348339867</v>
      </c>
    </row>
    <row r="346" spans="1:10" x14ac:dyDescent="0.25">
      <c r="A346" s="3" t="s">
        <v>28</v>
      </c>
      <c r="B346" s="3" t="s">
        <v>12</v>
      </c>
      <c r="C346" t="s">
        <v>163</v>
      </c>
      <c r="D346" s="4">
        <v>345</v>
      </c>
      <c r="E346" s="7">
        <f t="shared" si="41"/>
        <v>5.352156376047161E-2</v>
      </c>
      <c r="F346">
        <v>203303.97019999893</v>
      </c>
      <c r="G346">
        <f t="shared" si="40"/>
        <v>10881.146403816263</v>
      </c>
    </row>
    <row r="347" spans="1:10" x14ac:dyDescent="0.25">
      <c r="A347" s="3" t="s">
        <v>28</v>
      </c>
      <c r="B347" s="3" t="s">
        <v>12</v>
      </c>
      <c r="C347" t="s">
        <v>164</v>
      </c>
      <c r="D347" s="4">
        <v>293</v>
      </c>
      <c r="E347" s="7">
        <f t="shared" si="41"/>
        <v>4.5454545454545456E-2</v>
      </c>
      <c r="F347">
        <v>203303.97019999893</v>
      </c>
      <c r="G347">
        <f t="shared" si="40"/>
        <v>9241.0895545454059</v>
      </c>
    </row>
    <row r="348" spans="1:10" x14ac:dyDescent="0.25">
      <c r="A348" s="3" t="s">
        <v>28</v>
      </c>
      <c r="B348" s="3" t="s">
        <v>12</v>
      </c>
      <c r="C348" t="s">
        <v>165</v>
      </c>
      <c r="D348" s="4">
        <v>391</v>
      </c>
      <c r="E348" s="7">
        <f t="shared" si="41"/>
        <v>6.0657772261867825E-2</v>
      </c>
      <c r="F348">
        <v>203303.97019999893</v>
      </c>
      <c r="G348">
        <f t="shared" si="40"/>
        <v>12331.965924325099</v>
      </c>
    </row>
    <row r="349" spans="1:10" x14ac:dyDescent="0.25">
      <c r="A349" s="3" t="s">
        <v>28</v>
      </c>
      <c r="B349" s="3" t="s">
        <v>12</v>
      </c>
      <c r="C349" t="s">
        <v>166</v>
      </c>
      <c r="D349" s="4">
        <v>217</v>
      </c>
      <c r="E349" s="7">
        <f t="shared" si="41"/>
        <v>3.3664287930499533E-2</v>
      </c>
      <c r="F349">
        <v>203303.97019999893</v>
      </c>
      <c r="G349">
        <f t="shared" si="40"/>
        <v>6844.0833902264603</v>
      </c>
    </row>
    <row r="350" spans="1:10" x14ac:dyDescent="0.25">
      <c r="A350" s="3" t="s">
        <v>28</v>
      </c>
      <c r="B350" s="3" t="s">
        <v>12</v>
      </c>
      <c r="C350" t="s">
        <v>167</v>
      </c>
      <c r="D350" s="4">
        <v>820</v>
      </c>
      <c r="E350" s="7">
        <f t="shared" si="41"/>
        <v>0.12721067328575861</v>
      </c>
      <c r="F350">
        <v>203303.97019999893</v>
      </c>
      <c r="G350">
        <f t="shared" si="40"/>
        <v>25862.434930809668</v>
      </c>
    </row>
    <row r="351" spans="1:10" x14ac:dyDescent="0.25">
      <c r="A351" s="3" t="s">
        <v>28</v>
      </c>
      <c r="B351" s="3" t="s">
        <v>12</v>
      </c>
      <c r="C351" t="s">
        <v>168</v>
      </c>
      <c r="D351" s="4">
        <v>1019</v>
      </c>
      <c r="E351" s="7">
        <f t="shared" si="41"/>
        <v>0.15808253180266832</v>
      </c>
      <c r="F351">
        <v>203303.97019999893</v>
      </c>
      <c r="G351">
        <f t="shared" si="40"/>
        <v>32138.806334750065</v>
      </c>
    </row>
    <row r="352" spans="1:10" x14ac:dyDescent="0.25">
      <c r="A352" s="3" t="s">
        <v>28</v>
      </c>
      <c r="B352" s="3" t="s">
        <v>12</v>
      </c>
      <c r="C352" t="s">
        <v>169</v>
      </c>
      <c r="D352" s="4">
        <v>173</v>
      </c>
      <c r="E352" s="7">
        <f t="shared" si="41"/>
        <v>2.6838349363946634E-2</v>
      </c>
      <c r="F352">
        <v>203303.97019999893</v>
      </c>
      <c r="G352">
        <f t="shared" si="40"/>
        <v>5456.3429793049672</v>
      </c>
    </row>
    <row r="353" spans="1:10" x14ac:dyDescent="0.25">
      <c r="A353" s="3" t="s">
        <v>28</v>
      </c>
      <c r="B353" s="3" t="s">
        <v>12</v>
      </c>
      <c r="C353" t="s">
        <v>170</v>
      </c>
      <c r="D353" s="4">
        <v>305</v>
      </c>
      <c r="E353" s="7">
        <f t="shared" si="41"/>
        <v>4.7316165063605337E-2</v>
      </c>
      <c r="F353">
        <v>203303.97019999893</v>
      </c>
      <c r="G353">
        <f t="shared" si="40"/>
        <v>9619.5642120694502</v>
      </c>
    </row>
    <row r="354" spans="1:10" x14ac:dyDescent="0.25">
      <c r="A354" s="3" t="s">
        <v>28</v>
      </c>
      <c r="B354" s="3" t="s">
        <v>12</v>
      </c>
      <c r="C354" t="s">
        <v>171</v>
      </c>
      <c r="D354" s="4">
        <v>244</v>
      </c>
      <c r="E354" s="7">
        <f t="shared" si="41"/>
        <v>3.7852932050884268E-2</v>
      </c>
      <c r="F354">
        <v>203303.97019999893</v>
      </c>
      <c r="G354">
        <f t="shared" si="40"/>
        <v>7695.6513696555594</v>
      </c>
    </row>
    <row r="355" spans="1:10" x14ac:dyDescent="0.25">
      <c r="A355" s="3" t="s">
        <v>28</v>
      </c>
      <c r="B355" s="3" t="s">
        <v>12</v>
      </c>
      <c r="C355" t="s">
        <v>172</v>
      </c>
      <c r="D355" s="4">
        <v>438</v>
      </c>
      <c r="E355" s="7">
        <f t="shared" si="41"/>
        <v>6.7949115730685697E-2</v>
      </c>
      <c r="F355">
        <v>203303.97019999893</v>
      </c>
      <c r="G355">
        <f t="shared" si="40"/>
        <v>13814.324999627604</v>
      </c>
    </row>
    <row r="356" spans="1:10" x14ac:dyDescent="0.25">
      <c r="A356" s="3" t="s">
        <v>28</v>
      </c>
      <c r="B356" s="3" t="s">
        <v>12</v>
      </c>
      <c r="C356" t="s">
        <v>173</v>
      </c>
      <c r="D356" s="4">
        <v>381</v>
      </c>
      <c r="E356" s="7">
        <f t="shared" si="41"/>
        <v>5.910642258765126E-2</v>
      </c>
      <c r="F356">
        <v>203303.97019999893</v>
      </c>
      <c r="G356">
        <f t="shared" si="40"/>
        <v>12016.570376388396</v>
      </c>
    </row>
    <row r="357" spans="1:10" s="9" customFormat="1" x14ac:dyDescent="0.25">
      <c r="A357" s="8" t="s">
        <v>28</v>
      </c>
      <c r="B357" s="8" t="s">
        <v>13</v>
      </c>
      <c r="C357" s="9" t="s">
        <v>174</v>
      </c>
      <c r="D357" s="10">
        <v>79</v>
      </c>
      <c r="E357" s="20">
        <f>+D357/SUM($D$357:$D$376)</f>
        <v>9.5295536791314833E-3</v>
      </c>
      <c r="F357" s="9">
        <v>570949.56119999941</v>
      </c>
      <c r="G357" s="9">
        <f t="shared" si="40"/>
        <v>5440.8944915319607</v>
      </c>
      <c r="H357" s="18">
        <f>+SUM(E357:E376)</f>
        <v>0.99999999999999989</v>
      </c>
      <c r="I357" s="9">
        <f>+SUM(G357:G376)</f>
        <v>570949.56119999941</v>
      </c>
      <c r="J357" s="9" t="b">
        <f>+I357=F357</f>
        <v>1</v>
      </c>
    </row>
    <row r="358" spans="1:10" x14ac:dyDescent="0.25">
      <c r="A358" s="3" t="s">
        <v>28</v>
      </c>
      <c r="B358" s="3" t="s">
        <v>13</v>
      </c>
      <c r="C358" t="s">
        <v>1</v>
      </c>
      <c r="D358" s="4">
        <v>80</v>
      </c>
      <c r="E358" s="7">
        <f t="shared" ref="E358:E376" si="42">+D358/SUM($D$357:$D$376)</f>
        <v>9.6501809408926411E-3</v>
      </c>
      <c r="F358">
        <v>570949.56119999941</v>
      </c>
      <c r="G358">
        <f t="shared" si="40"/>
        <v>5509.7665737032512</v>
      </c>
    </row>
    <row r="359" spans="1:10" x14ac:dyDescent="0.25">
      <c r="A359" s="3" t="s">
        <v>28</v>
      </c>
      <c r="B359" s="3" t="s">
        <v>13</v>
      </c>
      <c r="C359" t="s">
        <v>175</v>
      </c>
      <c r="D359" s="4">
        <v>544</v>
      </c>
      <c r="E359" s="7">
        <f t="shared" si="42"/>
        <v>6.5621230398069968E-2</v>
      </c>
      <c r="F359">
        <v>570949.56119999941</v>
      </c>
      <c r="G359">
        <f t="shared" si="40"/>
        <v>37466.412701182111</v>
      </c>
    </row>
    <row r="360" spans="1:10" x14ac:dyDescent="0.25">
      <c r="A360" s="3" t="s">
        <v>28</v>
      </c>
      <c r="B360" s="3" t="s">
        <v>13</v>
      </c>
      <c r="C360" t="s">
        <v>176</v>
      </c>
      <c r="D360" s="4">
        <v>622</v>
      </c>
      <c r="E360" s="7">
        <f t="shared" si="42"/>
        <v>7.5030156815440285E-2</v>
      </c>
      <c r="F360">
        <v>570949.56119999941</v>
      </c>
      <c r="G360">
        <f t="shared" si="40"/>
        <v>42838.435110542778</v>
      </c>
    </row>
    <row r="361" spans="1:10" x14ac:dyDescent="0.25">
      <c r="A361" s="3" t="s">
        <v>28</v>
      </c>
      <c r="B361" s="3" t="s">
        <v>13</v>
      </c>
      <c r="C361" t="s">
        <v>177</v>
      </c>
      <c r="D361" s="4">
        <v>361</v>
      </c>
      <c r="E361" s="7">
        <f t="shared" si="42"/>
        <v>4.3546441495778049E-2</v>
      </c>
      <c r="F361">
        <v>570949.56119999941</v>
      </c>
      <c r="G361">
        <f t="shared" si="40"/>
        <v>24862.821663835923</v>
      </c>
    </row>
    <row r="362" spans="1:10" x14ac:dyDescent="0.25">
      <c r="A362" s="3" t="s">
        <v>28</v>
      </c>
      <c r="B362" s="3" t="s">
        <v>13</v>
      </c>
      <c r="C362" t="s">
        <v>178</v>
      </c>
      <c r="D362" s="4">
        <v>151</v>
      </c>
      <c r="E362" s="7">
        <f t="shared" si="42"/>
        <v>1.821471652593486E-2</v>
      </c>
      <c r="F362">
        <v>570949.56119999941</v>
      </c>
      <c r="G362">
        <f t="shared" si="40"/>
        <v>10399.684407864886</v>
      </c>
    </row>
    <row r="363" spans="1:10" x14ac:dyDescent="0.25">
      <c r="A363" s="3" t="s">
        <v>28</v>
      </c>
      <c r="B363" s="3" t="s">
        <v>13</v>
      </c>
      <c r="C363" t="s">
        <v>179</v>
      </c>
      <c r="D363" s="4">
        <v>114</v>
      </c>
      <c r="E363" s="7">
        <f t="shared" si="42"/>
        <v>1.3751507840772014E-2</v>
      </c>
      <c r="F363">
        <v>570949.56119999941</v>
      </c>
      <c r="G363">
        <f t="shared" si="40"/>
        <v>7851.4173675271331</v>
      </c>
    </row>
    <row r="364" spans="1:10" x14ac:dyDescent="0.25">
      <c r="A364" s="3" t="s">
        <v>28</v>
      </c>
      <c r="B364" s="3" t="s">
        <v>13</v>
      </c>
      <c r="C364" t="s">
        <v>180</v>
      </c>
      <c r="D364" s="4">
        <v>239</v>
      </c>
      <c r="E364" s="7">
        <f t="shared" si="42"/>
        <v>2.8829915560916766E-2</v>
      </c>
      <c r="F364">
        <v>570949.56119999941</v>
      </c>
      <c r="G364">
        <f t="shared" si="40"/>
        <v>16460.427638938461</v>
      </c>
    </row>
    <row r="365" spans="1:10" x14ac:dyDescent="0.25">
      <c r="A365" s="3" t="s">
        <v>28</v>
      </c>
      <c r="B365" s="3" t="s">
        <v>13</v>
      </c>
      <c r="C365" t="s">
        <v>182</v>
      </c>
      <c r="D365" s="4">
        <v>533</v>
      </c>
      <c r="E365" s="7">
        <f t="shared" si="42"/>
        <v>6.4294330518697221E-2</v>
      </c>
      <c r="F365">
        <v>570949.56119999941</v>
      </c>
      <c r="G365">
        <f t="shared" si="40"/>
        <v>36708.819797297911</v>
      </c>
    </row>
    <row r="366" spans="1:10" x14ac:dyDescent="0.25">
      <c r="A366" s="3" t="s">
        <v>28</v>
      </c>
      <c r="B366" s="3" t="s">
        <v>13</v>
      </c>
      <c r="C366" t="s">
        <v>183</v>
      </c>
      <c r="D366" s="4">
        <v>230</v>
      </c>
      <c r="E366" s="7">
        <f t="shared" si="42"/>
        <v>2.7744270205066344E-2</v>
      </c>
      <c r="F366">
        <v>570949.56119999941</v>
      </c>
      <c r="G366">
        <f t="shared" si="40"/>
        <v>15840.578899396847</v>
      </c>
    </row>
    <row r="367" spans="1:10" x14ac:dyDescent="0.25">
      <c r="A367" s="3" t="s">
        <v>28</v>
      </c>
      <c r="B367" s="3" t="s">
        <v>13</v>
      </c>
      <c r="C367" t="s">
        <v>153</v>
      </c>
      <c r="D367" s="4">
        <v>80</v>
      </c>
      <c r="E367" s="7">
        <f t="shared" si="42"/>
        <v>9.6501809408926411E-3</v>
      </c>
      <c r="F367">
        <v>570949.56119999941</v>
      </c>
      <c r="G367">
        <f t="shared" si="40"/>
        <v>5509.7665737032512</v>
      </c>
    </row>
    <row r="368" spans="1:10" x14ac:dyDescent="0.25">
      <c r="A368" s="3" t="s">
        <v>28</v>
      </c>
      <c r="B368" s="3" t="s">
        <v>13</v>
      </c>
      <c r="C368" t="s">
        <v>184</v>
      </c>
      <c r="D368" s="4">
        <v>981</v>
      </c>
      <c r="E368" s="7">
        <f t="shared" si="42"/>
        <v>0.11833534378769602</v>
      </c>
      <c r="F368">
        <v>570949.56119999941</v>
      </c>
      <c r="G368">
        <f t="shared" si="40"/>
        <v>67563.512610036123</v>
      </c>
    </row>
    <row r="369" spans="1:10" x14ac:dyDescent="0.25">
      <c r="A369" s="3" t="s">
        <v>28</v>
      </c>
      <c r="B369" s="3" t="s">
        <v>13</v>
      </c>
      <c r="C369" t="s">
        <v>185</v>
      </c>
      <c r="D369" s="4">
        <v>793</v>
      </c>
      <c r="E369" s="7">
        <f t="shared" si="42"/>
        <v>9.5657418576598305E-2</v>
      </c>
      <c r="F369">
        <v>570949.56119999941</v>
      </c>
      <c r="G369">
        <f t="shared" si="40"/>
        <v>54615.561161833473</v>
      </c>
    </row>
    <row r="370" spans="1:10" x14ac:dyDescent="0.25">
      <c r="A370" s="3" t="s">
        <v>28</v>
      </c>
      <c r="B370" s="3" t="s">
        <v>13</v>
      </c>
      <c r="C370" t="s">
        <v>18</v>
      </c>
      <c r="D370" s="4">
        <v>160</v>
      </c>
      <c r="E370" s="7">
        <f t="shared" si="42"/>
        <v>1.9300361881785282E-2</v>
      </c>
      <c r="F370">
        <v>570949.56119999941</v>
      </c>
      <c r="G370">
        <f t="shared" si="40"/>
        <v>11019.533147406502</v>
      </c>
    </row>
    <row r="371" spans="1:10" x14ac:dyDescent="0.25">
      <c r="A371" s="3" t="s">
        <v>28</v>
      </c>
      <c r="B371" s="3" t="s">
        <v>13</v>
      </c>
      <c r="C371" t="s">
        <v>186</v>
      </c>
      <c r="D371" s="4">
        <v>884</v>
      </c>
      <c r="E371" s="7">
        <f t="shared" si="42"/>
        <v>0.10663449939686369</v>
      </c>
      <c r="F371">
        <v>570949.56119999941</v>
      </c>
      <c r="G371">
        <f t="shared" si="40"/>
        <v>60882.920639420925</v>
      </c>
    </row>
    <row r="372" spans="1:10" x14ac:dyDescent="0.25">
      <c r="A372" s="3" t="s">
        <v>28</v>
      </c>
      <c r="B372" s="3" t="s">
        <v>13</v>
      </c>
      <c r="C372" t="s">
        <v>188</v>
      </c>
      <c r="D372" s="4">
        <v>163</v>
      </c>
      <c r="E372" s="7">
        <f t="shared" si="42"/>
        <v>1.9662243667068757E-2</v>
      </c>
      <c r="F372">
        <v>570949.56119999941</v>
      </c>
      <c r="G372">
        <f t="shared" si="40"/>
        <v>11226.149393920374</v>
      </c>
    </row>
    <row r="373" spans="1:10" x14ac:dyDescent="0.25">
      <c r="A373" s="3" t="s">
        <v>28</v>
      </c>
      <c r="B373" s="3" t="s">
        <v>13</v>
      </c>
      <c r="C373" t="s">
        <v>189</v>
      </c>
      <c r="D373" s="4">
        <v>170</v>
      </c>
      <c r="E373" s="7">
        <f t="shared" si="42"/>
        <v>2.0506634499396863E-2</v>
      </c>
      <c r="F373">
        <v>570949.56119999941</v>
      </c>
      <c r="G373">
        <f t="shared" si="40"/>
        <v>11708.253969119409</v>
      </c>
    </row>
    <row r="374" spans="1:10" x14ac:dyDescent="0.25">
      <c r="A374" s="3" t="s">
        <v>28</v>
      </c>
      <c r="B374" s="3" t="s">
        <v>13</v>
      </c>
      <c r="C374" t="s">
        <v>190</v>
      </c>
      <c r="D374" s="4">
        <v>584</v>
      </c>
      <c r="E374" s="7">
        <f t="shared" si="42"/>
        <v>7.044632086851628E-2</v>
      </c>
      <c r="F374">
        <v>570949.56119999941</v>
      </c>
      <c r="G374">
        <f t="shared" si="40"/>
        <v>40221.295988033729</v>
      </c>
    </row>
    <row r="375" spans="1:10" x14ac:dyDescent="0.25">
      <c r="A375" s="3" t="s">
        <v>28</v>
      </c>
      <c r="B375" s="3" t="s">
        <v>13</v>
      </c>
      <c r="C375" t="s">
        <v>191</v>
      </c>
      <c r="D375" s="4">
        <v>1004</v>
      </c>
      <c r="E375" s="7">
        <f t="shared" si="42"/>
        <v>0.12110977080820265</v>
      </c>
      <c r="F375">
        <v>570949.56119999941</v>
      </c>
      <c r="G375">
        <f t="shared" si="40"/>
        <v>69147.570499975802</v>
      </c>
    </row>
    <row r="376" spans="1:10" x14ac:dyDescent="0.25">
      <c r="A376" s="3" t="s">
        <v>28</v>
      </c>
      <c r="B376" s="3" t="s">
        <v>13</v>
      </c>
      <c r="C376" t="s">
        <v>192</v>
      </c>
      <c r="D376" s="4">
        <v>518</v>
      </c>
      <c r="E376" s="7">
        <f t="shared" si="42"/>
        <v>6.2484921592279856E-2</v>
      </c>
      <c r="F376">
        <v>570949.56119999941</v>
      </c>
      <c r="G376">
        <f t="shared" si="40"/>
        <v>35675.738564728556</v>
      </c>
    </row>
    <row r="377" spans="1:10" s="9" customFormat="1" x14ac:dyDescent="0.25">
      <c r="A377" s="8" t="s">
        <v>28</v>
      </c>
      <c r="B377" s="8" t="s">
        <v>14</v>
      </c>
      <c r="C377" s="9" t="s">
        <v>193</v>
      </c>
      <c r="D377" s="10">
        <v>177</v>
      </c>
      <c r="E377" s="20">
        <f>+D377/SUM($D$377:$D$388)</f>
        <v>7.4213836477987419E-2</v>
      </c>
      <c r="F377" s="9">
        <v>158374.41949999984</v>
      </c>
      <c r="G377" s="9">
        <f t="shared" si="40"/>
        <v>11753.57327106917</v>
      </c>
      <c r="H377" s="18">
        <f>+SUM(E377:E388)</f>
        <v>0.99999999999999989</v>
      </c>
      <c r="I377" s="9">
        <f>+SUM(G377:G388)</f>
        <v>158374.41949999984</v>
      </c>
      <c r="J377" s="9" t="b">
        <f>+I377=F377</f>
        <v>1</v>
      </c>
    </row>
    <row r="378" spans="1:10" x14ac:dyDescent="0.25">
      <c r="A378" s="3" t="s">
        <v>28</v>
      </c>
      <c r="B378" s="3" t="s">
        <v>14</v>
      </c>
      <c r="C378" t="s">
        <v>194</v>
      </c>
      <c r="D378" s="4">
        <v>213</v>
      </c>
      <c r="E378" s="7">
        <f t="shared" ref="E378:E388" si="43">+D378/SUM($D$377:$D$388)</f>
        <v>8.9308176100628925E-2</v>
      </c>
      <c r="F378">
        <v>158374.41949999984</v>
      </c>
      <c r="G378">
        <f t="shared" si="40"/>
        <v>14144.130546540866</v>
      </c>
    </row>
    <row r="379" spans="1:10" x14ac:dyDescent="0.25">
      <c r="A379" s="3" t="s">
        <v>28</v>
      </c>
      <c r="B379" s="3" t="s">
        <v>14</v>
      </c>
      <c r="C379" t="s">
        <v>195</v>
      </c>
      <c r="D379" s="4">
        <v>170</v>
      </c>
      <c r="E379" s="7">
        <f t="shared" si="43"/>
        <v>7.1278825995807121E-2</v>
      </c>
      <c r="F379">
        <v>158374.41949999984</v>
      </c>
      <c r="G379">
        <f t="shared" si="40"/>
        <v>11288.742689727451</v>
      </c>
    </row>
    <row r="380" spans="1:10" x14ac:dyDescent="0.25">
      <c r="A380" s="3" t="s">
        <v>28</v>
      </c>
      <c r="B380" s="3" t="s">
        <v>14</v>
      </c>
      <c r="C380" t="s">
        <v>257</v>
      </c>
      <c r="D380" s="4">
        <v>129</v>
      </c>
      <c r="E380" s="7">
        <f t="shared" si="43"/>
        <v>5.4088050314465411E-2</v>
      </c>
      <c r="F380">
        <v>158374.41949999984</v>
      </c>
      <c r="G380">
        <f t="shared" si="40"/>
        <v>8566.1635704402433</v>
      </c>
    </row>
    <row r="381" spans="1:10" x14ac:dyDescent="0.25">
      <c r="A381" s="3" t="s">
        <v>28</v>
      </c>
      <c r="B381" s="3" t="s">
        <v>14</v>
      </c>
      <c r="C381" t="s">
        <v>196</v>
      </c>
      <c r="D381" s="4">
        <v>689</v>
      </c>
      <c r="E381" s="7">
        <f t="shared" si="43"/>
        <v>0.28888888888888886</v>
      </c>
      <c r="F381">
        <v>158374.41949999984</v>
      </c>
      <c r="G381">
        <f t="shared" si="40"/>
        <v>45752.610077777725</v>
      </c>
    </row>
    <row r="382" spans="1:10" x14ac:dyDescent="0.25">
      <c r="A382" s="3" t="s">
        <v>28</v>
      </c>
      <c r="B382" s="3" t="s">
        <v>14</v>
      </c>
      <c r="C382" t="s">
        <v>197</v>
      </c>
      <c r="D382" s="4">
        <v>40</v>
      </c>
      <c r="E382" s="7">
        <f t="shared" si="43"/>
        <v>1.6771488469601678E-2</v>
      </c>
      <c r="F382">
        <v>158374.41949999984</v>
      </c>
      <c r="G382">
        <f t="shared" si="40"/>
        <v>2656.1747505241065</v>
      </c>
    </row>
    <row r="383" spans="1:10" x14ac:dyDescent="0.25">
      <c r="A383" s="3" t="s">
        <v>28</v>
      </c>
      <c r="B383" s="3" t="s">
        <v>14</v>
      </c>
      <c r="C383" t="s">
        <v>198</v>
      </c>
      <c r="D383" s="4">
        <v>121</v>
      </c>
      <c r="E383" s="7">
        <f t="shared" si="43"/>
        <v>5.0733752620545074E-2</v>
      </c>
      <c r="F383">
        <v>158374.41949999984</v>
      </c>
      <c r="G383">
        <f t="shared" si="40"/>
        <v>8034.9286203354222</v>
      </c>
    </row>
    <row r="384" spans="1:10" x14ac:dyDescent="0.25">
      <c r="A384" s="3" t="s">
        <v>28</v>
      </c>
      <c r="B384" s="3" t="s">
        <v>14</v>
      </c>
      <c r="C384" t="s">
        <v>199</v>
      </c>
      <c r="D384" s="4">
        <v>114</v>
      </c>
      <c r="E384" s="7">
        <f t="shared" si="43"/>
        <v>4.7798742138364783E-2</v>
      </c>
      <c r="F384">
        <v>158374.41949999984</v>
      </c>
      <c r="G384">
        <f t="shared" si="40"/>
        <v>7570.098038993704</v>
      </c>
    </row>
    <row r="385" spans="1:10" x14ac:dyDescent="0.25">
      <c r="A385" s="3" t="s">
        <v>28</v>
      </c>
      <c r="B385" s="3" t="s">
        <v>14</v>
      </c>
      <c r="C385" t="s">
        <v>200</v>
      </c>
      <c r="D385" s="4">
        <v>199</v>
      </c>
      <c r="E385" s="7">
        <f t="shared" si="43"/>
        <v>8.3438155136268344E-2</v>
      </c>
      <c r="F385">
        <v>158374.41949999984</v>
      </c>
      <c r="G385">
        <f t="shared" si="40"/>
        <v>13214.469383857429</v>
      </c>
    </row>
    <row r="386" spans="1:10" x14ac:dyDescent="0.25">
      <c r="A386" s="3" t="s">
        <v>28</v>
      </c>
      <c r="B386" s="3" t="s">
        <v>14</v>
      </c>
      <c r="C386" t="s">
        <v>201</v>
      </c>
      <c r="D386" s="4">
        <v>230</v>
      </c>
      <c r="E386" s="7">
        <f t="shared" si="43"/>
        <v>9.6436058700209645E-2</v>
      </c>
      <c r="F386">
        <v>158374.41949999984</v>
      </c>
      <c r="G386">
        <f t="shared" si="40"/>
        <v>15273.004815513612</v>
      </c>
    </row>
    <row r="387" spans="1:10" x14ac:dyDescent="0.25">
      <c r="A387" s="3" t="s">
        <v>28</v>
      </c>
      <c r="B387" s="3" t="s">
        <v>14</v>
      </c>
      <c r="C387" t="s">
        <v>202</v>
      </c>
      <c r="D387" s="4">
        <v>192</v>
      </c>
      <c r="E387" s="7">
        <f t="shared" si="43"/>
        <v>8.0503144654088046E-2</v>
      </c>
      <c r="F387">
        <v>158374.41949999984</v>
      </c>
      <c r="G387">
        <f t="shared" si="40"/>
        <v>12749.63880251571</v>
      </c>
    </row>
    <row r="388" spans="1:10" x14ac:dyDescent="0.25">
      <c r="A388" s="3" t="s">
        <v>28</v>
      </c>
      <c r="B388" s="3" t="s">
        <v>14</v>
      </c>
      <c r="C388" t="s">
        <v>203</v>
      </c>
      <c r="D388" s="4">
        <v>111</v>
      </c>
      <c r="E388" s="7">
        <f t="shared" si="43"/>
        <v>4.6540880503144651E-2</v>
      </c>
      <c r="F388">
        <v>158374.41949999984</v>
      </c>
      <c r="G388">
        <f t="shared" si="40"/>
        <v>7370.8849327043945</v>
      </c>
    </row>
    <row r="389" spans="1:10" s="9" customFormat="1" x14ac:dyDescent="0.25">
      <c r="A389" s="8" t="s">
        <v>28</v>
      </c>
      <c r="B389" s="8" t="s">
        <v>15</v>
      </c>
      <c r="C389" s="9" t="s">
        <v>204</v>
      </c>
      <c r="D389" s="10">
        <v>483</v>
      </c>
      <c r="E389" s="20">
        <f>+D389/SUM($D$389:$D$393)</f>
        <v>0.31527415143603132</v>
      </c>
      <c r="F389" s="9">
        <v>151863.14979999996</v>
      </c>
      <c r="G389" s="9">
        <f t="shared" si="40"/>
        <v>47878.525687597896</v>
      </c>
      <c r="H389" s="18">
        <f>+SUM(E389:E393)</f>
        <v>1</v>
      </c>
      <c r="I389" s="9">
        <f>+SUM(G389:G393)</f>
        <v>151863.14979999996</v>
      </c>
      <c r="J389" s="9" t="b">
        <f>+I389=F389</f>
        <v>1</v>
      </c>
    </row>
    <row r="390" spans="1:10" x14ac:dyDescent="0.25">
      <c r="A390" s="3" t="s">
        <v>28</v>
      </c>
      <c r="B390" s="3" t="s">
        <v>15</v>
      </c>
      <c r="C390" t="s">
        <v>205</v>
      </c>
      <c r="D390" s="4">
        <v>82</v>
      </c>
      <c r="E390" s="7">
        <f t="shared" ref="E390:E393" si="44">+D390/SUM($D$389:$D$393)</f>
        <v>5.3524804177545689E-2</v>
      </c>
      <c r="F390">
        <v>151863.14979999996</v>
      </c>
      <c r="G390">
        <f t="shared" si="40"/>
        <v>8128.4453548302845</v>
      </c>
    </row>
    <row r="391" spans="1:10" x14ac:dyDescent="0.25">
      <c r="A391" s="3" t="s">
        <v>28</v>
      </c>
      <c r="B391" s="3" t="s">
        <v>15</v>
      </c>
      <c r="C391" t="s">
        <v>206</v>
      </c>
      <c r="D391" s="4">
        <v>95</v>
      </c>
      <c r="E391" s="7">
        <f t="shared" si="44"/>
        <v>6.2010443864229763E-2</v>
      </c>
      <c r="F391">
        <v>151863.14979999996</v>
      </c>
      <c r="G391">
        <f t="shared" si="40"/>
        <v>9417.101325718013</v>
      </c>
    </row>
    <row r="392" spans="1:10" x14ac:dyDescent="0.25">
      <c r="A392" s="3" t="s">
        <v>28</v>
      </c>
      <c r="B392" s="3" t="s">
        <v>15</v>
      </c>
      <c r="C392" t="s">
        <v>207</v>
      </c>
      <c r="D392" s="4">
        <v>186</v>
      </c>
      <c r="E392" s="7">
        <f t="shared" si="44"/>
        <v>0.12140992167101827</v>
      </c>
      <c r="F392">
        <v>151863.14979999996</v>
      </c>
      <c r="G392">
        <f t="shared" si="40"/>
        <v>18437.693121932109</v>
      </c>
    </row>
    <row r="393" spans="1:10" x14ac:dyDescent="0.25">
      <c r="A393" s="3" t="s">
        <v>28</v>
      </c>
      <c r="B393" s="3" t="s">
        <v>15</v>
      </c>
      <c r="C393" t="s">
        <v>208</v>
      </c>
      <c r="D393" s="4">
        <v>686</v>
      </c>
      <c r="E393" s="7">
        <f t="shared" si="44"/>
        <v>0.44778067885117495</v>
      </c>
      <c r="F393">
        <v>151863.14979999996</v>
      </c>
      <c r="G393">
        <f t="shared" si="40"/>
        <v>68001.384309921646</v>
      </c>
    </row>
    <row r="394" spans="1:10" s="9" customFormat="1" x14ac:dyDescent="0.25">
      <c r="A394" s="8" t="s">
        <v>28</v>
      </c>
      <c r="B394" s="8" t="s">
        <v>16</v>
      </c>
      <c r="C394" s="9" t="s">
        <v>210</v>
      </c>
      <c r="D394" s="10">
        <v>497</v>
      </c>
      <c r="E394" s="20">
        <f>+D394/SUM($D$394:$D$396)</f>
        <v>0.61815920398009949</v>
      </c>
      <c r="F394" s="9">
        <v>13769.269800000009</v>
      </c>
      <c r="G394" s="9">
        <f t="shared" si="40"/>
        <v>8511.6008589552293</v>
      </c>
      <c r="H394" s="18">
        <f>+SUM(E394:E396)</f>
        <v>1</v>
      </c>
      <c r="I394" s="9">
        <f>+SUM(G394:G396)</f>
        <v>13769.269800000009</v>
      </c>
      <c r="J394" s="9" t="b">
        <f>+I394=F394</f>
        <v>1</v>
      </c>
    </row>
    <row r="395" spans="1:10" x14ac:dyDescent="0.25">
      <c r="A395" s="3" t="s">
        <v>28</v>
      </c>
      <c r="B395" s="3" t="s">
        <v>16</v>
      </c>
      <c r="C395" t="s">
        <v>211</v>
      </c>
      <c r="D395" s="4">
        <v>120</v>
      </c>
      <c r="E395" s="7">
        <f t="shared" ref="E395:E396" si="45">+D395/SUM($D$394:$D$396)</f>
        <v>0.14925373134328357</v>
      </c>
      <c r="F395">
        <v>13769.269800000009</v>
      </c>
      <c r="G395">
        <f t="shared" si="40"/>
        <v>2055.1148955223894</v>
      </c>
    </row>
    <row r="396" spans="1:10" x14ac:dyDescent="0.25">
      <c r="A396" s="3" t="s">
        <v>28</v>
      </c>
      <c r="B396" s="3" t="s">
        <v>16</v>
      </c>
      <c r="C396" t="s">
        <v>16</v>
      </c>
      <c r="D396" s="4">
        <v>187</v>
      </c>
      <c r="E396" s="7">
        <f t="shared" si="45"/>
        <v>0.23258706467661691</v>
      </c>
      <c r="F396">
        <v>13769.269800000009</v>
      </c>
      <c r="G396">
        <f t="shared" si="40"/>
        <v>3202.55404552239</v>
      </c>
    </row>
    <row r="397" spans="1:10" s="9" customFormat="1" x14ac:dyDescent="0.25">
      <c r="A397" s="8" t="s">
        <v>28</v>
      </c>
      <c r="B397" s="8" t="s">
        <v>17</v>
      </c>
      <c r="C397" s="9" t="s">
        <v>212</v>
      </c>
      <c r="D397" s="10">
        <v>119</v>
      </c>
      <c r="E397" s="20">
        <f>+D397/SUM($D$397:$D$400)</f>
        <v>0.16573816155988857</v>
      </c>
      <c r="F397" s="9">
        <v>43402.360500000068</v>
      </c>
      <c r="G397" s="9">
        <f t="shared" si="40"/>
        <v>7193.4274366295376</v>
      </c>
      <c r="H397" s="18">
        <f>+SUM(E397:E400)</f>
        <v>1</v>
      </c>
      <c r="I397" s="9">
        <f>+SUM(G397:G400)</f>
        <v>43402.360500000068</v>
      </c>
      <c r="J397" s="9" t="b">
        <f>+I397=F397</f>
        <v>1</v>
      </c>
    </row>
    <row r="398" spans="1:10" x14ac:dyDescent="0.25">
      <c r="A398" s="3" t="s">
        <v>28</v>
      </c>
      <c r="B398" s="3" t="s">
        <v>17</v>
      </c>
      <c r="C398" t="s">
        <v>213</v>
      </c>
      <c r="D398" s="4">
        <v>149</v>
      </c>
      <c r="E398" s="7">
        <f t="shared" ref="E398:E400" si="46">+D398/SUM($D$397:$D$400)</f>
        <v>0.20752089136490251</v>
      </c>
      <c r="F398">
        <v>43402.360500000068</v>
      </c>
      <c r="G398">
        <f t="shared" si="40"/>
        <v>9006.896538300849</v>
      </c>
    </row>
    <row r="399" spans="1:10" x14ac:dyDescent="0.25">
      <c r="A399" s="3" t="s">
        <v>28</v>
      </c>
      <c r="B399" s="3" t="s">
        <v>17</v>
      </c>
      <c r="C399" t="s">
        <v>17</v>
      </c>
      <c r="D399" s="4">
        <v>390</v>
      </c>
      <c r="E399" s="7">
        <f t="shared" si="46"/>
        <v>0.54317548746518107</v>
      </c>
      <c r="F399">
        <v>43402.360500000068</v>
      </c>
      <c r="G399">
        <f t="shared" si="40"/>
        <v>23575.098321727059</v>
      </c>
    </row>
    <row r="400" spans="1:10" x14ac:dyDescent="0.25">
      <c r="A400" s="3" t="s">
        <v>28</v>
      </c>
      <c r="B400" s="3" t="s">
        <v>17</v>
      </c>
      <c r="C400" t="s">
        <v>214</v>
      </c>
      <c r="D400" s="4">
        <v>60</v>
      </c>
      <c r="E400" s="7">
        <f t="shared" si="46"/>
        <v>8.3565459610027856E-2</v>
      </c>
      <c r="F400">
        <v>43402.360500000068</v>
      </c>
      <c r="G400">
        <f t="shared" si="40"/>
        <v>3626.9382033426241</v>
      </c>
    </row>
    <row r="401" spans="1:250 16384:16384" s="9" customFormat="1" x14ac:dyDescent="0.25">
      <c r="A401" s="8" t="s">
        <v>28</v>
      </c>
      <c r="B401" s="8" t="s">
        <v>18</v>
      </c>
      <c r="C401" s="9" t="s">
        <v>215</v>
      </c>
      <c r="D401" s="10">
        <v>885</v>
      </c>
      <c r="E401" s="20">
        <f>+D401/SUM($D$401:$D$408)</f>
        <v>0.13567376973785067</v>
      </c>
      <c r="F401" s="9">
        <v>507956.07759999763</v>
      </c>
      <c r="G401" s="9">
        <f t="shared" ref="G401:G464" si="47">+E401*F401</f>
        <v>68916.315909243887</v>
      </c>
      <c r="H401" s="18">
        <f>+SUM(E401:E408)</f>
        <v>1</v>
      </c>
      <c r="I401" s="9">
        <f>+SUM(G401:G408)</f>
        <v>507956.07759999763</v>
      </c>
      <c r="J401" s="9" t="b">
        <f>+I401=F401</f>
        <v>1</v>
      </c>
    </row>
    <row r="402" spans="1:250 16384:16384" x14ac:dyDescent="0.25">
      <c r="A402" s="3" t="s">
        <v>28</v>
      </c>
      <c r="B402" s="3" t="s">
        <v>18</v>
      </c>
      <c r="C402" t="s">
        <v>216</v>
      </c>
      <c r="D402" s="4">
        <v>4318</v>
      </c>
      <c r="E402" s="7">
        <f t="shared" ref="E402:E408" si="48">+D402/SUM($D$401:$D$408)</f>
        <v>0.66196535336501605</v>
      </c>
      <c r="F402">
        <v>507956.07759999763</v>
      </c>
      <c r="G402">
        <f t="shared" si="47"/>
        <v>336249.32440238993</v>
      </c>
    </row>
    <row r="403" spans="1:250 16384:16384" x14ac:dyDescent="0.25">
      <c r="A403" s="3" t="s">
        <v>28</v>
      </c>
      <c r="B403" s="3" t="s">
        <v>18</v>
      </c>
      <c r="C403" t="s">
        <v>217</v>
      </c>
      <c r="D403" s="4">
        <v>357</v>
      </c>
      <c r="E403" s="7">
        <f t="shared" si="48"/>
        <v>5.4729418978997392E-2</v>
      </c>
      <c r="F403">
        <v>507956.07759999763</v>
      </c>
      <c r="G403">
        <f t="shared" si="47"/>
        <v>27800.140993898382</v>
      </c>
    </row>
    <row r="404" spans="1:250 16384:16384" x14ac:dyDescent="0.25">
      <c r="A404" s="3" t="s">
        <v>28</v>
      </c>
      <c r="B404" s="3" t="s">
        <v>18</v>
      </c>
      <c r="C404" t="s">
        <v>218</v>
      </c>
      <c r="D404" s="4">
        <v>534</v>
      </c>
      <c r="E404" s="7">
        <f t="shared" si="48"/>
        <v>8.186417292656753E-2</v>
      </c>
      <c r="F404">
        <v>507956.07759999763</v>
      </c>
      <c r="G404">
        <f t="shared" si="47"/>
        <v>41583.404175747164</v>
      </c>
    </row>
    <row r="405" spans="1:250 16384:16384" x14ac:dyDescent="0.25">
      <c r="A405" s="3" t="s">
        <v>28</v>
      </c>
      <c r="B405" s="3" t="s">
        <v>18</v>
      </c>
      <c r="C405" t="s">
        <v>219</v>
      </c>
      <c r="D405" s="4">
        <v>40</v>
      </c>
      <c r="E405" s="7">
        <f t="shared" si="48"/>
        <v>6.1321477847616126E-3</v>
      </c>
      <c r="F405">
        <v>507956.07759999763</v>
      </c>
      <c r="G405">
        <f t="shared" si="47"/>
        <v>3114.8617360110234</v>
      </c>
    </row>
    <row r="406" spans="1:250 16384:16384" s="9" customFormat="1" x14ac:dyDescent="0.25">
      <c r="A406" s="3" t="s">
        <v>28</v>
      </c>
      <c r="B406" s="3" t="s">
        <v>18</v>
      </c>
      <c r="C406" t="s">
        <v>220</v>
      </c>
      <c r="D406" s="4">
        <v>210</v>
      </c>
      <c r="E406" s="7">
        <f t="shared" si="48"/>
        <v>3.219377586999847E-2</v>
      </c>
      <c r="F406">
        <v>507956.07759999763</v>
      </c>
      <c r="G406">
        <f t="shared" si="47"/>
        <v>16353.024114057875</v>
      </c>
      <c r="H406" s="1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XFD406"/>
    </row>
    <row r="407" spans="1:250 16384:16384" x14ac:dyDescent="0.25">
      <c r="A407" s="3" t="s">
        <v>28</v>
      </c>
      <c r="B407" s="3" t="s">
        <v>18</v>
      </c>
      <c r="C407" t="s">
        <v>258</v>
      </c>
      <c r="D407" s="4">
        <v>99</v>
      </c>
      <c r="E407" s="7">
        <f t="shared" si="48"/>
        <v>1.5177065767284991E-2</v>
      </c>
      <c r="F407">
        <v>507956.07759999763</v>
      </c>
      <c r="G407">
        <f t="shared" si="47"/>
        <v>7709.2827966272826</v>
      </c>
    </row>
    <row r="408" spans="1:250 16384:16384" x14ac:dyDescent="0.25">
      <c r="A408" s="3" t="s">
        <v>28</v>
      </c>
      <c r="B408" s="3" t="s">
        <v>18</v>
      </c>
      <c r="C408" t="s">
        <v>221</v>
      </c>
      <c r="D408" s="4">
        <v>80</v>
      </c>
      <c r="E408" s="7">
        <f t="shared" si="48"/>
        <v>1.2264295569523225E-2</v>
      </c>
      <c r="F408">
        <v>507956.07759999763</v>
      </c>
      <c r="G408">
        <f t="shared" si="47"/>
        <v>6229.7234720220467</v>
      </c>
    </row>
    <row r="409" spans="1:250 16384:16384" s="9" customFormat="1" x14ac:dyDescent="0.25">
      <c r="A409" s="8" t="s">
        <v>28</v>
      </c>
      <c r="B409" s="8" t="s">
        <v>19</v>
      </c>
      <c r="C409" s="9" t="s">
        <v>222</v>
      </c>
      <c r="D409" s="10">
        <v>500</v>
      </c>
      <c r="E409" s="20">
        <f>+D409/SUM($D$409:$D$411)</f>
        <v>0.16812373907195696</v>
      </c>
      <c r="F409" s="9">
        <v>137167.64000000001</v>
      </c>
      <c r="G409" s="9">
        <f t="shared" si="47"/>
        <v>23061.13651647613</v>
      </c>
      <c r="H409" s="18">
        <f>+SUM(E409:E411)</f>
        <v>1</v>
      </c>
      <c r="I409" s="9">
        <f>+SUM(G409:G411)</f>
        <v>137167.64000000001</v>
      </c>
      <c r="J409" s="9" t="b">
        <f>+I409=F409</f>
        <v>1</v>
      </c>
    </row>
    <row r="410" spans="1:250 16384:16384" x14ac:dyDescent="0.25">
      <c r="A410" s="3" t="s">
        <v>28</v>
      </c>
      <c r="B410" s="3" t="s">
        <v>19</v>
      </c>
      <c r="C410" t="s">
        <v>223</v>
      </c>
      <c r="D410" s="4">
        <v>438</v>
      </c>
      <c r="E410" s="7">
        <f t="shared" ref="E410:E411" si="49">+D410/SUM($D$409:$D$411)</f>
        <v>0.1472763954270343</v>
      </c>
      <c r="F410">
        <v>137167.64000000001</v>
      </c>
      <c r="G410">
        <f t="shared" si="47"/>
        <v>20201.55558843309</v>
      </c>
    </row>
    <row r="411" spans="1:250 16384:16384" x14ac:dyDescent="0.25">
      <c r="A411" s="3" t="s">
        <v>28</v>
      </c>
      <c r="B411" s="3" t="s">
        <v>19</v>
      </c>
      <c r="C411" t="s">
        <v>19</v>
      </c>
      <c r="D411" s="4">
        <v>2036</v>
      </c>
      <c r="E411" s="7">
        <f t="shared" si="49"/>
        <v>0.68459986550100871</v>
      </c>
      <c r="F411">
        <v>137167.64000000001</v>
      </c>
      <c r="G411">
        <f t="shared" si="47"/>
        <v>93904.947895090794</v>
      </c>
    </row>
    <row r="412" spans="1:250 16384:16384" s="9" customFormat="1" x14ac:dyDescent="0.25">
      <c r="A412" s="8" t="s">
        <v>28</v>
      </c>
      <c r="B412" s="8" t="s">
        <v>20</v>
      </c>
      <c r="C412" s="9" t="s">
        <v>224</v>
      </c>
      <c r="D412" s="10">
        <v>339</v>
      </c>
      <c r="E412" s="20">
        <f>+D412/SUM($D$412:$D$413)</f>
        <v>0.2243547319655857</v>
      </c>
      <c r="F412" s="9">
        <v>102626.91999999998</v>
      </c>
      <c r="G412" s="9">
        <f t="shared" si="47"/>
        <v>23024.835129053601</v>
      </c>
      <c r="H412" s="18">
        <f>+SUM(E412:E413)</f>
        <v>1</v>
      </c>
      <c r="I412" s="9">
        <f>+SUM(G412:G413)</f>
        <v>102626.91999999998</v>
      </c>
      <c r="J412" s="9" t="b">
        <f>+I412=F412</f>
        <v>1</v>
      </c>
    </row>
    <row r="413" spans="1:250 16384:16384" x14ac:dyDescent="0.25">
      <c r="A413" s="3" t="s">
        <v>28</v>
      </c>
      <c r="B413" s="3" t="s">
        <v>20</v>
      </c>
      <c r="C413" t="s">
        <v>225</v>
      </c>
      <c r="D413" s="4">
        <v>1172</v>
      </c>
      <c r="E413" s="7">
        <f>+D413/SUM($D$412:$D$413)</f>
        <v>0.77564526803441425</v>
      </c>
      <c r="F413">
        <v>102626.91999999998</v>
      </c>
      <c r="G413">
        <f t="shared" si="47"/>
        <v>79602.084870946375</v>
      </c>
    </row>
    <row r="414" spans="1:250 16384:16384" s="9" customFormat="1" x14ac:dyDescent="0.25">
      <c r="A414" s="8" t="s">
        <v>28</v>
      </c>
      <c r="B414" s="8" t="s">
        <v>21</v>
      </c>
      <c r="C414" s="9" t="s">
        <v>226</v>
      </c>
      <c r="D414" s="10">
        <v>551</v>
      </c>
      <c r="E414" s="20">
        <f>+D414/SUM($D$414:$D$420)</f>
        <v>0.2065991751031121</v>
      </c>
      <c r="F414" s="9">
        <v>138196.62000000011</v>
      </c>
      <c r="G414" s="9">
        <f t="shared" si="47"/>
        <v>28551.307694038267</v>
      </c>
      <c r="H414" s="18">
        <f>+SUM(E414:E420)</f>
        <v>1</v>
      </c>
      <c r="I414" s="9">
        <f>+SUM(G414:G420)</f>
        <v>138196.62000000008</v>
      </c>
      <c r="J414" s="9" t="b">
        <f>+I414=F414</f>
        <v>1</v>
      </c>
    </row>
    <row r="415" spans="1:250 16384:16384" x14ac:dyDescent="0.25">
      <c r="A415" s="3" t="s">
        <v>28</v>
      </c>
      <c r="B415" s="3" t="s">
        <v>21</v>
      </c>
      <c r="C415" t="s">
        <v>227</v>
      </c>
      <c r="D415" s="4">
        <v>319</v>
      </c>
      <c r="E415" s="7">
        <f t="shared" ref="E415:E420" si="50">+D415/SUM($D$414:$D$420)</f>
        <v>0.11961004874390702</v>
      </c>
      <c r="F415">
        <v>138196.62000000011</v>
      </c>
      <c r="G415">
        <f t="shared" si="47"/>
        <v>16529.70445444321</v>
      </c>
    </row>
    <row r="416" spans="1:250 16384:16384" x14ac:dyDescent="0.25">
      <c r="A416" s="3" t="s">
        <v>28</v>
      </c>
      <c r="B416" s="3" t="s">
        <v>21</v>
      </c>
      <c r="C416" t="s">
        <v>228</v>
      </c>
      <c r="D416" s="4">
        <v>239</v>
      </c>
      <c r="E416" s="7">
        <f t="shared" si="50"/>
        <v>8.9613798275215595E-2</v>
      </c>
      <c r="F416">
        <v>138196.62000000011</v>
      </c>
      <c r="G416">
        <f t="shared" si="47"/>
        <v>12384.324026996635</v>
      </c>
    </row>
    <row r="417" spans="1:250" s="9" customFormat="1" x14ac:dyDescent="0.25">
      <c r="A417" s="3" t="s">
        <v>28</v>
      </c>
      <c r="B417" s="3" t="s">
        <v>21</v>
      </c>
      <c r="C417" t="s">
        <v>229</v>
      </c>
      <c r="D417" s="4">
        <v>907</v>
      </c>
      <c r="E417" s="7">
        <f t="shared" si="50"/>
        <v>0.3400824896887889</v>
      </c>
      <c r="F417">
        <v>138196.62000000011</v>
      </c>
      <c r="G417">
        <f t="shared" si="47"/>
        <v>46998.250596175516</v>
      </c>
      <c r="H417" s="16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</row>
    <row r="418" spans="1:250" x14ac:dyDescent="0.25">
      <c r="A418" s="3" t="s">
        <v>28</v>
      </c>
      <c r="B418" s="3" t="s">
        <v>21</v>
      </c>
      <c r="C418" t="s">
        <v>230</v>
      </c>
      <c r="D418" s="4">
        <v>190</v>
      </c>
      <c r="E418" s="7">
        <f t="shared" si="50"/>
        <v>7.1241094863142104E-2</v>
      </c>
      <c r="F418">
        <v>138196.62000000011</v>
      </c>
      <c r="G418">
        <f t="shared" si="47"/>
        <v>9845.2785151856096</v>
      </c>
    </row>
    <row r="419" spans="1:250" s="9" customFormat="1" x14ac:dyDescent="0.25">
      <c r="A419" s="3" t="s">
        <v>28</v>
      </c>
      <c r="B419" s="3" t="s">
        <v>21</v>
      </c>
      <c r="C419" t="s">
        <v>231</v>
      </c>
      <c r="D419" s="4">
        <v>349</v>
      </c>
      <c r="E419" s="7">
        <f t="shared" si="50"/>
        <v>0.13085864266966629</v>
      </c>
      <c r="F419">
        <v>138196.62000000011</v>
      </c>
      <c r="G419">
        <f t="shared" si="47"/>
        <v>18084.222114735672</v>
      </c>
      <c r="H419" s="16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</row>
    <row r="420" spans="1:250" x14ac:dyDescent="0.25">
      <c r="A420" s="3" t="s">
        <v>28</v>
      </c>
      <c r="B420" s="3" t="s">
        <v>21</v>
      </c>
      <c r="C420" t="s">
        <v>21</v>
      </c>
      <c r="D420" s="4">
        <v>112</v>
      </c>
      <c r="E420" s="7">
        <f t="shared" si="50"/>
        <v>4.1994750656167978E-2</v>
      </c>
      <c r="F420">
        <v>138196.62000000011</v>
      </c>
      <c r="G420">
        <f t="shared" si="47"/>
        <v>5803.5325984252013</v>
      </c>
    </row>
    <row r="421" spans="1:250" s="9" customFormat="1" x14ac:dyDescent="0.25">
      <c r="A421" s="8" t="s">
        <v>28</v>
      </c>
      <c r="B421" s="8" t="s">
        <v>22</v>
      </c>
      <c r="C421" s="9" t="s">
        <v>232</v>
      </c>
      <c r="D421" s="10">
        <v>3405</v>
      </c>
      <c r="E421" s="20">
        <f>+D421/SUM($D$421:$D$429)</f>
        <v>0.55874630784378077</v>
      </c>
      <c r="F421" s="9">
        <v>271515.90970000066</v>
      </c>
      <c r="G421" s="9">
        <f t="shared" si="47"/>
        <v>151708.51206572074</v>
      </c>
      <c r="H421" s="18">
        <f>+SUM(E421:E429)</f>
        <v>1</v>
      </c>
      <c r="I421" s="9">
        <f>+SUM(G421:G429)</f>
        <v>271515.90970000066</v>
      </c>
      <c r="J421" s="9" t="b">
        <f>+I421=F421</f>
        <v>1</v>
      </c>
    </row>
    <row r="422" spans="1:250" x14ac:dyDescent="0.25">
      <c r="A422" s="3" t="s">
        <v>28</v>
      </c>
      <c r="B422" s="3" t="s">
        <v>22</v>
      </c>
      <c r="C422" t="s">
        <v>259</v>
      </c>
      <c r="D422" s="4">
        <v>198</v>
      </c>
      <c r="E422" s="7">
        <f t="shared" ref="E422:E429" si="51">+D422/SUM($D$421:$D$429)</f>
        <v>3.2490974729241874E-2</v>
      </c>
      <c r="F422">
        <v>271515.90970000066</v>
      </c>
      <c r="G422">
        <f t="shared" si="47"/>
        <v>8821.8165606498405</v>
      </c>
    </row>
    <row r="423" spans="1:250" x14ac:dyDescent="0.25">
      <c r="A423" s="3" t="s">
        <v>28</v>
      </c>
      <c r="B423" s="3" t="s">
        <v>22</v>
      </c>
      <c r="C423" t="s">
        <v>233</v>
      </c>
      <c r="D423" s="4">
        <v>149</v>
      </c>
      <c r="E423" s="7">
        <f t="shared" si="51"/>
        <v>2.4450278962914341E-2</v>
      </c>
      <c r="F423">
        <v>271515.90970000066</v>
      </c>
      <c r="G423">
        <f t="shared" si="47"/>
        <v>6638.639735034476</v>
      </c>
    </row>
    <row r="424" spans="1:250" x14ac:dyDescent="0.25">
      <c r="A424" s="3" t="s">
        <v>28</v>
      </c>
      <c r="B424" s="3" t="s">
        <v>22</v>
      </c>
      <c r="C424" t="s">
        <v>234</v>
      </c>
      <c r="D424" s="4">
        <v>153</v>
      </c>
      <c r="E424" s="7">
        <f t="shared" si="51"/>
        <v>2.5106662290777813E-2</v>
      </c>
      <c r="F424">
        <v>271515.90970000066</v>
      </c>
      <c r="G424">
        <f t="shared" si="47"/>
        <v>6816.8582514112404</v>
      </c>
    </row>
    <row r="425" spans="1:250" x14ac:dyDescent="0.25">
      <c r="A425" s="3" t="s">
        <v>28</v>
      </c>
      <c r="B425" s="3" t="s">
        <v>22</v>
      </c>
      <c r="C425" t="s">
        <v>235</v>
      </c>
      <c r="D425" s="4">
        <v>216</v>
      </c>
      <c r="E425" s="7">
        <f t="shared" si="51"/>
        <v>3.5444699704627505E-2</v>
      </c>
      <c r="F425">
        <v>271515.90970000066</v>
      </c>
      <c r="G425">
        <f t="shared" si="47"/>
        <v>9623.7998843452824</v>
      </c>
    </row>
    <row r="426" spans="1:250" s="9" customFormat="1" x14ac:dyDescent="0.25">
      <c r="A426" s="3" t="s">
        <v>28</v>
      </c>
      <c r="B426" s="3" t="s">
        <v>22</v>
      </c>
      <c r="C426" t="s">
        <v>236</v>
      </c>
      <c r="D426" s="4">
        <v>377</v>
      </c>
      <c r="E426" s="7">
        <f t="shared" si="51"/>
        <v>6.1864128651132264E-2</v>
      </c>
      <c r="F426">
        <v>271515.90970000066</v>
      </c>
      <c r="G426">
        <f t="shared" si="47"/>
        <v>16797.095168510052</v>
      </c>
      <c r="H426" s="1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</row>
    <row r="427" spans="1:250" x14ac:dyDescent="0.25">
      <c r="A427" s="3" t="s">
        <v>28</v>
      </c>
      <c r="B427" s="3" t="s">
        <v>22</v>
      </c>
      <c r="C427" t="s">
        <v>237</v>
      </c>
      <c r="D427" s="4">
        <v>869</v>
      </c>
      <c r="E427" s="7">
        <f t="shared" si="51"/>
        <v>0.14259927797833935</v>
      </c>
      <c r="F427">
        <v>271515.90970000066</v>
      </c>
      <c r="G427">
        <f t="shared" si="47"/>
        <v>38717.97268285208</v>
      </c>
    </row>
    <row r="428" spans="1:250" x14ac:dyDescent="0.25">
      <c r="A428" s="3" t="s">
        <v>28</v>
      </c>
      <c r="B428" s="3" t="s">
        <v>22</v>
      </c>
      <c r="C428" t="s">
        <v>238</v>
      </c>
      <c r="D428" s="4">
        <v>611</v>
      </c>
      <c r="E428" s="7">
        <f t="shared" si="51"/>
        <v>0.10026255333114539</v>
      </c>
      <c r="F428">
        <v>271515.90970000066</v>
      </c>
      <c r="G428">
        <f t="shared" si="47"/>
        <v>27222.878376550772</v>
      </c>
    </row>
    <row r="429" spans="1:250" x14ac:dyDescent="0.25">
      <c r="A429" s="3" t="s">
        <v>28</v>
      </c>
      <c r="B429" s="3" t="s">
        <v>22</v>
      </c>
      <c r="C429" t="s">
        <v>239</v>
      </c>
      <c r="D429" s="4">
        <v>116</v>
      </c>
      <c r="E429" s="7">
        <f t="shared" si="51"/>
        <v>1.9035116508040694E-2</v>
      </c>
      <c r="F429">
        <v>271515.90970000066</v>
      </c>
      <c r="G429">
        <f t="shared" si="47"/>
        <v>5168.3369749261692</v>
      </c>
    </row>
    <row r="430" spans="1:250" s="9" customFormat="1" x14ac:dyDescent="0.25">
      <c r="A430" s="8" t="s">
        <v>28</v>
      </c>
      <c r="B430" s="8" t="s">
        <v>23</v>
      </c>
      <c r="C430" s="9" t="s">
        <v>240</v>
      </c>
      <c r="D430" s="10">
        <v>170</v>
      </c>
      <c r="E430" s="20">
        <f>+D430/SUM($D$430:$D$438)</f>
        <v>0.10340632603406326</v>
      </c>
      <c r="F430" s="9">
        <v>119271.76959999977</v>
      </c>
      <c r="G430" s="9">
        <f t="shared" si="47"/>
        <v>12333.45549391725</v>
      </c>
      <c r="H430" s="18">
        <f>+SUM(E430:E438)</f>
        <v>1</v>
      </c>
      <c r="I430" s="9">
        <f>+SUM(G430:G438)</f>
        <v>119271.76959999977</v>
      </c>
      <c r="J430" s="9" t="b">
        <f>+I430=F430</f>
        <v>1</v>
      </c>
    </row>
    <row r="431" spans="1:250" x14ac:dyDescent="0.25">
      <c r="A431" s="3" t="s">
        <v>28</v>
      </c>
      <c r="B431" s="3" t="s">
        <v>23</v>
      </c>
      <c r="C431" t="s">
        <v>241</v>
      </c>
      <c r="D431" s="4">
        <v>261</v>
      </c>
      <c r="E431" s="7">
        <f t="shared" ref="E431:E438" si="52">+D431/SUM($D$430:$D$438)</f>
        <v>0.15875912408759124</v>
      </c>
      <c r="F431">
        <v>119271.76959999977</v>
      </c>
      <c r="G431">
        <f t="shared" si="47"/>
        <v>18935.481670072957</v>
      </c>
    </row>
    <row r="432" spans="1:250" x14ac:dyDescent="0.25">
      <c r="A432" s="3" t="s">
        <v>28</v>
      </c>
      <c r="B432" s="3" t="s">
        <v>23</v>
      </c>
      <c r="C432" t="s">
        <v>242</v>
      </c>
      <c r="D432" s="4">
        <v>210</v>
      </c>
      <c r="E432" s="7">
        <f t="shared" si="52"/>
        <v>0.12773722627737227</v>
      </c>
      <c r="F432">
        <v>119271.76959999977</v>
      </c>
      <c r="G432">
        <f t="shared" si="47"/>
        <v>15235.445021897782</v>
      </c>
    </row>
    <row r="433" spans="1:250" x14ac:dyDescent="0.25">
      <c r="A433" s="3" t="s">
        <v>28</v>
      </c>
      <c r="B433" s="3" t="s">
        <v>23</v>
      </c>
      <c r="C433" t="s">
        <v>243</v>
      </c>
      <c r="D433" s="4">
        <v>79</v>
      </c>
      <c r="E433" s="7">
        <f t="shared" si="52"/>
        <v>4.8053527980535277E-2</v>
      </c>
      <c r="F433">
        <v>119271.76959999977</v>
      </c>
      <c r="G433">
        <f t="shared" si="47"/>
        <v>5731.4293177615455</v>
      </c>
    </row>
    <row r="434" spans="1:250" x14ac:dyDescent="0.25">
      <c r="A434" s="3" t="s">
        <v>28</v>
      </c>
      <c r="B434" s="3" t="s">
        <v>23</v>
      </c>
      <c r="C434" t="s">
        <v>244</v>
      </c>
      <c r="D434" s="4">
        <v>126</v>
      </c>
      <c r="E434" s="7">
        <f t="shared" si="52"/>
        <v>7.6642335766423361E-2</v>
      </c>
      <c r="F434">
        <v>119271.76959999977</v>
      </c>
      <c r="G434">
        <f t="shared" si="47"/>
        <v>9141.2670131386694</v>
      </c>
    </row>
    <row r="435" spans="1:250" s="9" customFormat="1" x14ac:dyDescent="0.25">
      <c r="A435" s="3" t="s">
        <v>28</v>
      </c>
      <c r="B435" s="3" t="s">
        <v>23</v>
      </c>
      <c r="C435" t="s">
        <v>245</v>
      </c>
      <c r="D435" s="4">
        <v>80</v>
      </c>
      <c r="E435" s="7">
        <f t="shared" si="52"/>
        <v>4.8661800486618008E-2</v>
      </c>
      <c r="F435">
        <v>119271.76959999977</v>
      </c>
      <c r="G435">
        <f t="shared" si="47"/>
        <v>5803.9790559610592</v>
      </c>
      <c r="H435" s="16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</row>
    <row r="436" spans="1:250" x14ac:dyDescent="0.25">
      <c r="A436" s="3" t="s">
        <v>28</v>
      </c>
      <c r="B436" s="3" t="s">
        <v>23</v>
      </c>
      <c r="C436" t="s">
        <v>246</v>
      </c>
      <c r="D436" s="4">
        <v>119</v>
      </c>
      <c r="E436" s="7">
        <f t="shared" si="52"/>
        <v>7.2384428223844277E-2</v>
      </c>
      <c r="F436">
        <v>119271.76959999977</v>
      </c>
      <c r="G436">
        <f t="shared" si="47"/>
        <v>8633.4188457420751</v>
      </c>
    </row>
    <row r="437" spans="1:250" x14ac:dyDescent="0.25">
      <c r="A437" s="3" t="s">
        <v>28</v>
      </c>
      <c r="B437" s="3" t="s">
        <v>23</v>
      </c>
      <c r="C437" t="s">
        <v>247</v>
      </c>
      <c r="D437" s="4">
        <v>249</v>
      </c>
      <c r="E437" s="7">
        <f t="shared" si="52"/>
        <v>0.15145985401459855</v>
      </c>
      <c r="F437">
        <v>119271.76959999977</v>
      </c>
      <c r="G437">
        <f t="shared" si="47"/>
        <v>18064.884811678799</v>
      </c>
    </row>
    <row r="438" spans="1:250" x14ac:dyDescent="0.25">
      <c r="A438" s="3" t="s">
        <v>28</v>
      </c>
      <c r="B438" s="3" t="s">
        <v>23</v>
      </c>
      <c r="C438" t="s">
        <v>248</v>
      </c>
      <c r="D438" s="4">
        <v>350</v>
      </c>
      <c r="E438" s="7">
        <f t="shared" si="52"/>
        <v>0.21289537712895376</v>
      </c>
      <c r="F438">
        <v>119271.76959999977</v>
      </c>
      <c r="G438">
        <f t="shared" si="47"/>
        <v>25392.408369829634</v>
      </c>
    </row>
    <row r="439" spans="1:250" s="22" customFormat="1" x14ac:dyDescent="0.25">
      <c r="A439" s="21" t="s">
        <v>29</v>
      </c>
      <c r="B439" s="21" t="s">
        <v>0</v>
      </c>
      <c r="C439" s="22" t="s">
        <v>46</v>
      </c>
      <c r="D439" s="23">
        <v>58</v>
      </c>
      <c r="E439" s="24">
        <f>+D439/SUM($D$439:$D$451)</f>
        <v>4.8293089092422983E-2</v>
      </c>
      <c r="F439" s="22">
        <v>99264.079699999769</v>
      </c>
      <c r="G439" s="22">
        <f t="shared" si="47"/>
        <v>4793.7690446294646</v>
      </c>
      <c r="H439" s="25">
        <f>+SUM(E439:E451)</f>
        <v>0.99999999999999989</v>
      </c>
      <c r="I439" s="22">
        <f>+SUM(G439:G451)</f>
        <v>99264.079699999784</v>
      </c>
      <c r="J439" s="22" t="b">
        <f>+I439=F439</f>
        <v>1</v>
      </c>
    </row>
    <row r="440" spans="1:250" x14ac:dyDescent="0.25">
      <c r="A440" s="3" t="s">
        <v>29</v>
      </c>
      <c r="B440" s="3" t="s">
        <v>0</v>
      </c>
      <c r="C440" t="s">
        <v>47</v>
      </c>
      <c r="D440" s="4">
        <v>281</v>
      </c>
      <c r="E440" s="7">
        <f t="shared" ref="E440:E451" si="53">+D440/SUM($D$439:$D$451)</f>
        <v>0.23397169025811823</v>
      </c>
      <c r="F440">
        <v>99264.079699999769</v>
      </c>
      <c r="G440">
        <f t="shared" si="47"/>
        <v>23224.984509325506</v>
      </c>
    </row>
    <row r="441" spans="1:250" x14ac:dyDescent="0.25">
      <c r="A441" s="3" t="s">
        <v>29</v>
      </c>
      <c r="B441" s="3" t="s">
        <v>0</v>
      </c>
      <c r="C441" t="s">
        <v>48</v>
      </c>
      <c r="D441" s="4">
        <v>30</v>
      </c>
      <c r="E441" s="7">
        <f t="shared" si="53"/>
        <v>2.497918401332223E-2</v>
      </c>
      <c r="F441">
        <v>99264.079699999769</v>
      </c>
      <c r="G441">
        <f t="shared" si="47"/>
        <v>2479.5357127393781</v>
      </c>
    </row>
    <row r="442" spans="1:250" x14ac:dyDescent="0.25">
      <c r="A442" s="3" t="s">
        <v>29</v>
      </c>
      <c r="B442" s="3" t="s">
        <v>0</v>
      </c>
      <c r="C442" t="s">
        <v>49</v>
      </c>
      <c r="D442" s="4">
        <v>30</v>
      </c>
      <c r="E442" s="7">
        <f t="shared" si="53"/>
        <v>2.497918401332223E-2</v>
      </c>
      <c r="F442">
        <v>99264.079699999769</v>
      </c>
      <c r="G442">
        <f t="shared" si="47"/>
        <v>2479.5357127393781</v>
      </c>
    </row>
    <row r="443" spans="1:250" x14ac:dyDescent="0.25">
      <c r="A443" s="3" t="s">
        <v>29</v>
      </c>
      <c r="B443" s="3" t="s">
        <v>0</v>
      </c>
      <c r="C443" t="s">
        <v>50</v>
      </c>
      <c r="D443" s="4">
        <v>30</v>
      </c>
      <c r="E443" s="7">
        <f t="shared" si="53"/>
        <v>2.497918401332223E-2</v>
      </c>
      <c r="F443">
        <v>99264.079699999769</v>
      </c>
      <c r="G443">
        <f t="shared" si="47"/>
        <v>2479.5357127393781</v>
      </c>
    </row>
    <row r="444" spans="1:250" x14ac:dyDescent="0.25">
      <c r="A444" s="3" t="s">
        <v>29</v>
      </c>
      <c r="B444" s="3" t="s">
        <v>0</v>
      </c>
      <c r="C444" t="s">
        <v>51</v>
      </c>
      <c r="D444" s="4">
        <v>149</v>
      </c>
      <c r="E444" s="7">
        <f t="shared" si="53"/>
        <v>0.12406328059950042</v>
      </c>
      <c r="F444">
        <v>99264.079699999769</v>
      </c>
      <c r="G444">
        <f t="shared" si="47"/>
        <v>12315.027373272245</v>
      </c>
    </row>
    <row r="445" spans="1:250" x14ac:dyDescent="0.25">
      <c r="A445" s="3" t="s">
        <v>29</v>
      </c>
      <c r="B445" s="3" t="s">
        <v>0</v>
      </c>
      <c r="C445" t="s">
        <v>52</v>
      </c>
      <c r="D445" s="4">
        <v>210</v>
      </c>
      <c r="E445" s="7">
        <f t="shared" si="53"/>
        <v>0.17485428809325562</v>
      </c>
      <c r="F445">
        <v>99264.079699999769</v>
      </c>
      <c r="G445">
        <f t="shared" si="47"/>
        <v>17356.749989175645</v>
      </c>
    </row>
    <row r="446" spans="1:250" x14ac:dyDescent="0.25">
      <c r="A446" s="3" t="s">
        <v>29</v>
      </c>
      <c r="B446" s="3" t="s">
        <v>0</v>
      </c>
      <c r="C446" t="s">
        <v>254</v>
      </c>
      <c r="D446" s="4">
        <v>54</v>
      </c>
      <c r="E446" s="7">
        <f t="shared" si="53"/>
        <v>4.4962531223980015E-2</v>
      </c>
      <c r="F446">
        <v>99264.079699999769</v>
      </c>
      <c r="G446">
        <f t="shared" si="47"/>
        <v>4463.1642829308803</v>
      </c>
    </row>
    <row r="447" spans="1:250" x14ac:dyDescent="0.25">
      <c r="A447" s="3" t="s">
        <v>29</v>
      </c>
      <c r="B447" s="3" t="s">
        <v>0</v>
      </c>
      <c r="C447" t="s">
        <v>53</v>
      </c>
      <c r="D447" s="4">
        <v>60</v>
      </c>
      <c r="E447" s="7">
        <f t="shared" si="53"/>
        <v>4.995836802664446E-2</v>
      </c>
      <c r="F447">
        <v>99264.079699999769</v>
      </c>
      <c r="G447">
        <f t="shared" si="47"/>
        <v>4959.0714254787563</v>
      </c>
    </row>
    <row r="448" spans="1:250" x14ac:dyDescent="0.25">
      <c r="A448" s="3" t="s">
        <v>29</v>
      </c>
      <c r="B448" s="3" t="s">
        <v>0</v>
      </c>
      <c r="C448" t="s">
        <v>54</v>
      </c>
      <c r="D448" s="4">
        <v>60</v>
      </c>
      <c r="E448" s="7">
        <f t="shared" si="53"/>
        <v>4.995836802664446E-2</v>
      </c>
      <c r="F448">
        <v>99264.079699999769</v>
      </c>
      <c r="G448">
        <f t="shared" si="47"/>
        <v>4959.0714254787563</v>
      </c>
    </row>
    <row r="449" spans="1:10" x14ac:dyDescent="0.25">
      <c r="A449" s="3" t="s">
        <v>29</v>
      </c>
      <c r="B449" s="3" t="s">
        <v>0</v>
      </c>
      <c r="C449" t="s">
        <v>56</v>
      </c>
      <c r="D449" s="4">
        <v>90</v>
      </c>
      <c r="E449" s="7">
        <f t="shared" si="53"/>
        <v>7.4937552039966701E-2</v>
      </c>
      <c r="F449">
        <v>99264.079699999769</v>
      </c>
      <c r="G449">
        <f t="shared" si="47"/>
        <v>7438.6071382181353</v>
      </c>
    </row>
    <row r="450" spans="1:10" x14ac:dyDescent="0.25">
      <c r="A450" s="3" t="s">
        <v>29</v>
      </c>
      <c r="B450" s="3" t="s">
        <v>0</v>
      </c>
      <c r="C450" t="s">
        <v>57</v>
      </c>
      <c r="D450" s="4">
        <v>30</v>
      </c>
      <c r="E450" s="7">
        <f t="shared" si="53"/>
        <v>2.497918401332223E-2</v>
      </c>
      <c r="F450">
        <v>99264.079699999769</v>
      </c>
      <c r="G450">
        <f t="shared" si="47"/>
        <v>2479.5357127393781</v>
      </c>
    </row>
    <row r="451" spans="1:10" x14ac:dyDescent="0.25">
      <c r="A451" s="3" t="s">
        <v>29</v>
      </c>
      <c r="B451" s="3" t="s">
        <v>0</v>
      </c>
      <c r="C451" t="s">
        <v>58</v>
      </c>
      <c r="D451" s="4">
        <v>119</v>
      </c>
      <c r="E451" s="7">
        <f t="shared" si="53"/>
        <v>9.9084096586178186E-2</v>
      </c>
      <c r="F451">
        <v>99264.079699999769</v>
      </c>
      <c r="G451">
        <f t="shared" si="47"/>
        <v>9835.4916605328672</v>
      </c>
    </row>
    <row r="452" spans="1:10" s="22" customFormat="1" x14ac:dyDescent="0.25">
      <c r="A452" s="21" t="s">
        <v>29</v>
      </c>
      <c r="B452" s="21" t="s">
        <v>1</v>
      </c>
      <c r="C452" s="22" t="s">
        <v>59</v>
      </c>
      <c r="D452" s="23">
        <v>120</v>
      </c>
      <c r="E452" s="24">
        <f>+D452/SUM($D$452:$D$458)</f>
        <v>0.11142061281337047</v>
      </c>
      <c r="F452" s="22">
        <v>46228.130000000005</v>
      </c>
      <c r="G452" s="22">
        <f t="shared" si="47"/>
        <v>5150.7665738161568</v>
      </c>
      <c r="H452" s="25">
        <f>+SUM(E452:E458)</f>
        <v>1</v>
      </c>
      <c r="I452" s="22">
        <f>+SUM(G452:G458)</f>
        <v>46228.130000000005</v>
      </c>
      <c r="J452" s="22" t="b">
        <f>+I452=F452</f>
        <v>1</v>
      </c>
    </row>
    <row r="453" spans="1:10" x14ac:dyDescent="0.25">
      <c r="A453" s="3" t="s">
        <v>29</v>
      </c>
      <c r="B453" s="3" t="s">
        <v>1</v>
      </c>
      <c r="C453" t="s">
        <v>60</v>
      </c>
      <c r="D453" s="4">
        <v>90</v>
      </c>
      <c r="E453" s="7">
        <f t="shared" ref="E453:E458" si="54">+D453/SUM($D$452:$D$458)</f>
        <v>8.3565459610027856E-2</v>
      </c>
      <c r="F453">
        <v>46228.130000000005</v>
      </c>
      <c r="G453">
        <f t="shared" si="47"/>
        <v>3863.0749303621174</v>
      </c>
    </row>
    <row r="454" spans="1:10" x14ac:dyDescent="0.25">
      <c r="A454" s="3" t="s">
        <v>29</v>
      </c>
      <c r="B454" s="3" t="s">
        <v>1</v>
      </c>
      <c r="C454" t="s">
        <v>61</v>
      </c>
      <c r="D454" s="4">
        <v>90</v>
      </c>
      <c r="E454" s="7">
        <f t="shared" si="54"/>
        <v>8.3565459610027856E-2</v>
      </c>
      <c r="F454">
        <v>46228.130000000005</v>
      </c>
      <c r="G454">
        <f t="shared" si="47"/>
        <v>3863.0749303621174</v>
      </c>
    </row>
    <row r="455" spans="1:10" x14ac:dyDescent="0.25">
      <c r="A455" s="3" t="s">
        <v>29</v>
      </c>
      <c r="B455" s="3" t="s">
        <v>1</v>
      </c>
      <c r="C455" t="s">
        <v>62</v>
      </c>
      <c r="D455" s="4">
        <v>60</v>
      </c>
      <c r="E455" s="7">
        <f t="shared" si="54"/>
        <v>5.5710306406685235E-2</v>
      </c>
      <c r="F455">
        <v>46228.130000000005</v>
      </c>
      <c r="G455">
        <f t="shared" si="47"/>
        <v>2575.3832869080784</v>
      </c>
    </row>
    <row r="456" spans="1:10" x14ac:dyDescent="0.25">
      <c r="A456" s="3" t="s">
        <v>29</v>
      </c>
      <c r="B456" s="3" t="s">
        <v>1</v>
      </c>
      <c r="C456" t="s">
        <v>63</v>
      </c>
      <c r="D456" s="4">
        <v>508</v>
      </c>
      <c r="E456" s="7">
        <f t="shared" si="54"/>
        <v>0.47168059424326836</v>
      </c>
      <c r="F456">
        <v>46228.130000000005</v>
      </c>
      <c r="G456">
        <f t="shared" si="47"/>
        <v>21804.911829155062</v>
      </c>
    </row>
    <row r="457" spans="1:10" x14ac:dyDescent="0.25">
      <c r="A457" s="3" t="s">
        <v>29</v>
      </c>
      <c r="B457" s="3" t="s">
        <v>1</v>
      </c>
      <c r="C457" t="s">
        <v>64</v>
      </c>
      <c r="D457" s="4">
        <v>60</v>
      </c>
      <c r="E457" s="7">
        <f t="shared" si="54"/>
        <v>5.5710306406685235E-2</v>
      </c>
      <c r="F457">
        <v>46228.130000000005</v>
      </c>
      <c r="G457">
        <f t="shared" si="47"/>
        <v>2575.3832869080784</v>
      </c>
    </row>
    <row r="458" spans="1:10" x14ac:dyDescent="0.25">
      <c r="A458" s="3" t="s">
        <v>29</v>
      </c>
      <c r="B458" s="3" t="s">
        <v>1</v>
      </c>
      <c r="C458" t="s">
        <v>65</v>
      </c>
      <c r="D458" s="4">
        <v>149</v>
      </c>
      <c r="E458" s="7">
        <f t="shared" si="54"/>
        <v>0.13834726090993502</v>
      </c>
      <c r="F458">
        <v>46228.130000000005</v>
      </c>
      <c r="G458">
        <f t="shared" si="47"/>
        <v>6395.5351624883951</v>
      </c>
    </row>
    <row r="459" spans="1:10" s="22" customFormat="1" x14ac:dyDescent="0.25">
      <c r="A459" s="21" t="s">
        <v>29</v>
      </c>
      <c r="B459" s="21" t="s">
        <v>2</v>
      </c>
      <c r="C459" s="22" t="s">
        <v>66</v>
      </c>
      <c r="D459" s="23">
        <v>310</v>
      </c>
      <c r="E459" s="24">
        <f>+D459/SUM($D$459:$D$465)</f>
        <v>0.38083538083538082</v>
      </c>
      <c r="F459" s="22">
        <v>65943.219900000084</v>
      </c>
      <c r="G459" s="22">
        <f t="shared" si="47"/>
        <v>25113.511264127796</v>
      </c>
      <c r="H459" s="25">
        <f>+SUM(E459:E465)</f>
        <v>1</v>
      </c>
      <c r="I459" s="22">
        <f>+SUM(G459:G465)</f>
        <v>65943.219900000084</v>
      </c>
      <c r="J459" s="22" t="b">
        <f>+I459=F459</f>
        <v>1</v>
      </c>
    </row>
    <row r="460" spans="1:10" x14ac:dyDescent="0.25">
      <c r="A460" s="3" t="s">
        <v>29</v>
      </c>
      <c r="B460" s="3" t="s">
        <v>2</v>
      </c>
      <c r="C460" t="s">
        <v>67</v>
      </c>
      <c r="D460" s="4">
        <v>84</v>
      </c>
      <c r="E460" s="7">
        <f t="shared" ref="E460:E465" si="55">+D460/SUM($D$459:$D$465)</f>
        <v>0.10319410319410319</v>
      </c>
      <c r="F460">
        <v>65943.219900000084</v>
      </c>
      <c r="G460">
        <f t="shared" si="47"/>
        <v>6804.9514393120471</v>
      </c>
    </row>
    <row r="461" spans="1:10" x14ac:dyDescent="0.25">
      <c r="A461" s="3" t="s">
        <v>29</v>
      </c>
      <c r="B461" s="3" t="s">
        <v>2</v>
      </c>
      <c r="C461" t="s">
        <v>2</v>
      </c>
      <c r="D461" s="4">
        <v>90</v>
      </c>
      <c r="E461" s="7">
        <f t="shared" si="55"/>
        <v>0.11056511056511056</v>
      </c>
      <c r="F461">
        <v>65943.219900000084</v>
      </c>
      <c r="G461">
        <f t="shared" si="47"/>
        <v>7291.0193992629083</v>
      </c>
    </row>
    <row r="462" spans="1:10" x14ac:dyDescent="0.25">
      <c r="A462" s="3" t="s">
        <v>29</v>
      </c>
      <c r="B462" s="3" t="s">
        <v>2</v>
      </c>
      <c r="C462" t="s">
        <v>68</v>
      </c>
      <c r="D462" s="4">
        <v>60</v>
      </c>
      <c r="E462" s="7">
        <f t="shared" si="55"/>
        <v>7.3710073710073709E-2</v>
      </c>
      <c r="F462">
        <v>65943.219900000084</v>
      </c>
      <c r="G462">
        <f t="shared" si="47"/>
        <v>4860.6795995086059</v>
      </c>
    </row>
    <row r="463" spans="1:10" x14ac:dyDescent="0.25">
      <c r="A463" s="3" t="s">
        <v>29</v>
      </c>
      <c r="B463" s="3" t="s">
        <v>2</v>
      </c>
      <c r="C463" t="s">
        <v>69</v>
      </c>
      <c r="D463" s="4">
        <v>90</v>
      </c>
      <c r="E463" s="7">
        <f t="shared" si="55"/>
        <v>0.11056511056511056</v>
      </c>
      <c r="F463">
        <v>65943.219900000084</v>
      </c>
      <c r="G463">
        <f t="shared" si="47"/>
        <v>7291.0193992629083</v>
      </c>
    </row>
    <row r="464" spans="1:10" x14ac:dyDescent="0.25">
      <c r="A464" s="3" t="s">
        <v>29</v>
      </c>
      <c r="B464" s="3" t="s">
        <v>2</v>
      </c>
      <c r="C464" t="s">
        <v>70</v>
      </c>
      <c r="D464" s="4">
        <v>150</v>
      </c>
      <c r="E464" s="7">
        <f t="shared" si="55"/>
        <v>0.18427518427518427</v>
      </c>
      <c r="F464">
        <v>65943.219900000084</v>
      </c>
      <c r="G464">
        <f t="shared" si="47"/>
        <v>12151.698998771513</v>
      </c>
    </row>
    <row r="465" spans="1:10" x14ac:dyDescent="0.25">
      <c r="A465" s="3" t="s">
        <v>29</v>
      </c>
      <c r="B465" s="3" t="s">
        <v>2</v>
      </c>
      <c r="C465" t="s">
        <v>71</v>
      </c>
      <c r="D465" s="4">
        <v>30</v>
      </c>
      <c r="E465" s="7">
        <f t="shared" si="55"/>
        <v>3.6855036855036855E-2</v>
      </c>
      <c r="F465">
        <v>65943.219900000084</v>
      </c>
      <c r="G465">
        <f t="shared" ref="G465:G528" si="56">+E465*F465</f>
        <v>2430.3397997543029</v>
      </c>
    </row>
    <row r="466" spans="1:10" s="22" customFormat="1" x14ac:dyDescent="0.25">
      <c r="A466" s="21" t="s">
        <v>29</v>
      </c>
      <c r="B466" s="21" t="s">
        <v>3</v>
      </c>
      <c r="C466" s="22" t="s">
        <v>1</v>
      </c>
      <c r="D466" s="23">
        <v>90</v>
      </c>
      <c r="E466" s="24">
        <f>+D466/SUM($D$466:$D$471)</f>
        <v>0.1717557251908397</v>
      </c>
      <c r="F466" s="22">
        <v>8690.8000999999931</v>
      </c>
      <c r="G466" s="22">
        <f t="shared" si="56"/>
        <v>1492.694673664121</v>
      </c>
      <c r="H466" s="25">
        <f>+SUM(E466:E471)</f>
        <v>1</v>
      </c>
      <c r="I466" s="22">
        <f>+SUM(G466:G471)</f>
        <v>8690.8000999999931</v>
      </c>
      <c r="J466" s="22" t="b">
        <f>+I466=F466</f>
        <v>1</v>
      </c>
    </row>
    <row r="467" spans="1:10" x14ac:dyDescent="0.25">
      <c r="A467" s="3" t="s">
        <v>29</v>
      </c>
      <c r="B467" s="3" t="s">
        <v>3</v>
      </c>
      <c r="C467" t="s">
        <v>72</v>
      </c>
      <c r="D467" s="4">
        <v>120</v>
      </c>
      <c r="E467" s="7">
        <f t="shared" ref="E467:E471" si="57">+D467/SUM($D$466:$D$471)</f>
        <v>0.22900763358778625</v>
      </c>
      <c r="F467">
        <v>8690.8000999999931</v>
      </c>
      <c r="G467">
        <f t="shared" si="56"/>
        <v>1990.2595648854945</v>
      </c>
    </row>
    <row r="468" spans="1:10" x14ac:dyDescent="0.25">
      <c r="A468" s="3" t="s">
        <v>29</v>
      </c>
      <c r="B468" s="3" t="s">
        <v>3</v>
      </c>
      <c r="C468" t="s">
        <v>73</v>
      </c>
      <c r="D468" s="4">
        <v>89</v>
      </c>
      <c r="E468" s="7">
        <f t="shared" si="57"/>
        <v>0.16984732824427481</v>
      </c>
      <c r="F468">
        <v>8690.8000999999931</v>
      </c>
      <c r="G468">
        <f t="shared" si="56"/>
        <v>1476.1091772900752</v>
      </c>
    </row>
    <row r="469" spans="1:10" x14ac:dyDescent="0.25">
      <c r="A469" s="3" t="s">
        <v>29</v>
      </c>
      <c r="B469" s="3" t="s">
        <v>3</v>
      </c>
      <c r="C469" t="s">
        <v>74</v>
      </c>
      <c r="D469" s="4">
        <v>45</v>
      </c>
      <c r="E469" s="7">
        <f t="shared" si="57"/>
        <v>8.5877862595419852E-2</v>
      </c>
      <c r="F469">
        <v>8690.8000999999931</v>
      </c>
      <c r="G469">
        <f t="shared" si="56"/>
        <v>746.34733683206048</v>
      </c>
    </row>
    <row r="470" spans="1:10" x14ac:dyDescent="0.25">
      <c r="A470" s="3" t="s">
        <v>29</v>
      </c>
      <c r="B470" s="3" t="s">
        <v>3</v>
      </c>
      <c r="C470" t="s">
        <v>75</v>
      </c>
      <c r="D470" s="4">
        <v>60</v>
      </c>
      <c r="E470" s="7">
        <f t="shared" si="57"/>
        <v>0.11450381679389313</v>
      </c>
      <c r="F470">
        <v>8690.8000999999931</v>
      </c>
      <c r="G470">
        <f t="shared" si="56"/>
        <v>995.12978244274723</v>
      </c>
    </row>
    <row r="471" spans="1:10" x14ac:dyDescent="0.25">
      <c r="A471" s="3" t="s">
        <v>29</v>
      </c>
      <c r="B471" s="3" t="s">
        <v>3</v>
      </c>
      <c r="C471" t="s">
        <v>76</v>
      </c>
      <c r="D471" s="4">
        <v>120</v>
      </c>
      <c r="E471" s="7">
        <f t="shared" si="57"/>
        <v>0.22900763358778625</v>
      </c>
      <c r="F471">
        <v>8690.8000999999931</v>
      </c>
      <c r="G471">
        <f t="shared" si="56"/>
        <v>1990.2595648854945</v>
      </c>
    </row>
    <row r="472" spans="1:10" s="22" customFormat="1" x14ac:dyDescent="0.25">
      <c r="A472" s="21" t="s">
        <v>29</v>
      </c>
      <c r="B472" s="21" t="s">
        <v>4</v>
      </c>
      <c r="C472" s="22" t="s">
        <v>77</v>
      </c>
      <c r="D472" s="23">
        <v>30</v>
      </c>
      <c r="E472" s="24">
        <f>+D472/SUM($D$472:$D$481)</f>
        <v>3.1479538300104928E-2</v>
      </c>
      <c r="F472" s="22">
        <v>4294.269700000179</v>
      </c>
      <c r="G472" s="22">
        <f t="shared" si="56"/>
        <v>135.18162749213573</v>
      </c>
      <c r="H472" s="25">
        <f>+SUM(E472:E481)</f>
        <v>0.99999999999999978</v>
      </c>
      <c r="I472" s="22">
        <f>+SUM(G472:G481)</f>
        <v>4294.269700000179</v>
      </c>
      <c r="J472" s="22" t="b">
        <f>+I472=F472</f>
        <v>1</v>
      </c>
    </row>
    <row r="473" spans="1:10" x14ac:dyDescent="0.25">
      <c r="A473" s="3" t="s">
        <v>29</v>
      </c>
      <c r="B473" s="3" t="s">
        <v>4</v>
      </c>
      <c r="C473" t="s">
        <v>78</v>
      </c>
      <c r="D473" s="4">
        <v>60</v>
      </c>
      <c r="E473" s="7">
        <f t="shared" ref="E473:E481" si="58">+D473/SUM($D$472:$D$481)</f>
        <v>6.2959076600209857E-2</v>
      </c>
      <c r="F473">
        <v>4294.269700000179</v>
      </c>
      <c r="G473">
        <f t="shared" si="56"/>
        <v>270.36325498427146</v>
      </c>
    </row>
    <row r="474" spans="1:10" x14ac:dyDescent="0.25">
      <c r="A474" s="3" t="s">
        <v>29</v>
      </c>
      <c r="B474" s="3" t="s">
        <v>4</v>
      </c>
      <c r="C474" t="s">
        <v>79</v>
      </c>
      <c r="D474" s="4">
        <v>88</v>
      </c>
      <c r="E474" s="7">
        <f t="shared" si="58"/>
        <v>9.2339979013641132E-2</v>
      </c>
      <c r="F474">
        <v>4294.269700000179</v>
      </c>
      <c r="G474">
        <f t="shared" si="56"/>
        <v>396.53277397693154</v>
      </c>
    </row>
    <row r="475" spans="1:10" x14ac:dyDescent="0.25">
      <c r="A475" s="3" t="s">
        <v>29</v>
      </c>
      <c r="B475" s="3" t="s">
        <v>4</v>
      </c>
      <c r="C475" t="s">
        <v>80</v>
      </c>
      <c r="D475" s="4">
        <v>60</v>
      </c>
      <c r="E475" s="7">
        <f t="shared" si="58"/>
        <v>6.2959076600209857E-2</v>
      </c>
      <c r="F475">
        <v>4294.269700000179</v>
      </c>
      <c r="G475">
        <f t="shared" si="56"/>
        <v>270.36325498427146</v>
      </c>
    </row>
    <row r="476" spans="1:10" x14ac:dyDescent="0.25">
      <c r="A476" s="3" t="s">
        <v>29</v>
      </c>
      <c r="B476" s="3" t="s">
        <v>4</v>
      </c>
      <c r="C476" t="s">
        <v>81</v>
      </c>
      <c r="D476" s="4">
        <v>90</v>
      </c>
      <c r="E476" s="7">
        <f t="shared" si="58"/>
        <v>9.4438614900314799E-2</v>
      </c>
      <c r="F476">
        <v>4294.269700000179</v>
      </c>
      <c r="G476">
        <f t="shared" si="56"/>
        <v>405.54488247640728</v>
      </c>
    </row>
    <row r="477" spans="1:10" x14ac:dyDescent="0.25">
      <c r="A477" s="3" t="s">
        <v>29</v>
      </c>
      <c r="B477" s="3" t="s">
        <v>4</v>
      </c>
      <c r="C477" t="s">
        <v>82</v>
      </c>
      <c r="D477" s="4">
        <v>60</v>
      </c>
      <c r="E477" s="7">
        <f t="shared" si="58"/>
        <v>6.2959076600209857E-2</v>
      </c>
      <c r="F477">
        <v>4294.269700000179</v>
      </c>
      <c r="G477">
        <f t="shared" si="56"/>
        <v>270.36325498427146</v>
      </c>
    </row>
    <row r="478" spans="1:10" x14ac:dyDescent="0.25">
      <c r="A478" s="3" t="s">
        <v>29</v>
      </c>
      <c r="B478" s="3" t="s">
        <v>4</v>
      </c>
      <c r="C478" t="s">
        <v>83</v>
      </c>
      <c r="D478" s="4">
        <v>60</v>
      </c>
      <c r="E478" s="7">
        <f t="shared" si="58"/>
        <v>6.2959076600209857E-2</v>
      </c>
      <c r="F478">
        <v>4294.269700000179</v>
      </c>
      <c r="G478">
        <f t="shared" si="56"/>
        <v>270.36325498427146</v>
      </c>
    </row>
    <row r="479" spans="1:10" x14ac:dyDescent="0.25">
      <c r="A479" s="3" t="s">
        <v>29</v>
      </c>
      <c r="B479" s="3" t="s">
        <v>4</v>
      </c>
      <c r="C479" t="s">
        <v>84</v>
      </c>
      <c r="D479" s="4">
        <v>60</v>
      </c>
      <c r="E479" s="7">
        <f t="shared" si="58"/>
        <v>6.2959076600209857E-2</v>
      </c>
      <c r="F479">
        <v>4294.269700000179</v>
      </c>
      <c r="G479">
        <f t="shared" si="56"/>
        <v>270.36325498427146</v>
      </c>
    </row>
    <row r="480" spans="1:10" x14ac:dyDescent="0.25">
      <c r="A480" s="3" t="s">
        <v>29</v>
      </c>
      <c r="B480" s="3" t="s">
        <v>4</v>
      </c>
      <c r="C480" t="s">
        <v>85</v>
      </c>
      <c r="D480" s="4">
        <v>100</v>
      </c>
      <c r="E480" s="7">
        <f t="shared" si="58"/>
        <v>0.1049317943336831</v>
      </c>
      <c r="F480">
        <v>4294.269700000179</v>
      </c>
      <c r="G480">
        <f t="shared" si="56"/>
        <v>450.60542497378583</v>
      </c>
    </row>
    <row r="481" spans="1:10" x14ac:dyDescent="0.25">
      <c r="A481" s="3" t="s">
        <v>29</v>
      </c>
      <c r="B481" s="3" t="s">
        <v>4</v>
      </c>
      <c r="C481" t="s">
        <v>86</v>
      </c>
      <c r="D481" s="4">
        <v>345</v>
      </c>
      <c r="E481" s="7">
        <f t="shared" si="58"/>
        <v>0.36201469045120671</v>
      </c>
      <c r="F481">
        <v>4294.269700000179</v>
      </c>
      <c r="G481">
        <f t="shared" si="56"/>
        <v>1554.588716159561</v>
      </c>
    </row>
    <row r="482" spans="1:10" s="22" customFormat="1" x14ac:dyDescent="0.25">
      <c r="A482" s="21" t="s">
        <v>29</v>
      </c>
      <c r="B482" s="21" t="s">
        <v>5</v>
      </c>
      <c r="C482" s="22" t="s">
        <v>87</v>
      </c>
      <c r="D482" s="23">
        <v>120</v>
      </c>
      <c r="E482" s="24">
        <f>+D482/SUM($D$482:$D$488)</f>
        <v>0.12170385395537525</v>
      </c>
      <c r="F482" s="22">
        <v>864.0006000000285</v>
      </c>
      <c r="G482" s="22">
        <f t="shared" si="56"/>
        <v>105.15220283976006</v>
      </c>
      <c r="H482" s="25">
        <f>+SUM(E482:E488)</f>
        <v>0.99999999999999989</v>
      </c>
      <c r="I482" s="22">
        <f>+SUM(G482:G488)</f>
        <v>864.00060000002838</v>
      </c>
      <c r="J482" s="22" t="b">
        <f>+I482=F482</f>
        <v>1</v>
      </c>
    </row>
    <row r="483" spans="1:10" x14ac:dyDescent="0.25">
      <c r="A483" s="3" t="s">
        <v>29</v>
      </c>
      <c r="B483" s="3" t="s">
        <v>5</v>
      </c>
      <c r="C483" t="s">
        <v>88</v>
      </c>
      <c r="D483" s="4">
        <v>120</v>
      </c>
      <c r="E483" s="7">
        <f t="shared" ref="E483:E488" si="59">+D483/SUM($D$482:$D$488)</f>
        <v>0.12170385395537525</v>
      </c>
      <c r="F483">
        <v>864.0006000000285</v>
      </c>
      <c r="G483">
        <f t="shared" si="56"/>
        <v>105.15220283976006</v>
      </c>
    </row>
    <row r="484" spans="1:10" x14ac:dyDescent="0.25">
      <c r="A484" s="3" t="s">
        <v>29</v>
      </c>
      <c r="B484" s="3" t="s">
        <v>5</v>
      </c>
      <c r="C484" t="s">
        <v>89</v>
      </c>
      <c r="D484" s="4">
        <v>149</v>
      </c>
      <c r="E484" s="7">
        <f t="shared" si="59"/>
        <v>0.15111561866125761</v>
      </c>
      <c r="F484">
        <v>864.0006000000285</v>
      </c>
      <c r="G484">
        <f t="shared" si="56"/>
        <v>130.56398519270209</v>
      </c>
    </row>
    <row r="485" spans="1:10" x14ac:dyDescent="0.25">
      <c r="A485" s="3" t="s">
        <v>29</v>
      </c>
      <c r="B485" s="3" t="s">
        <v>5</v>
      </c>
      <c r="C485" t="s">
        <v>90</v>
      </c>
      <c r="D485" s="4">
        <v>177</v>
      </c>
      <c r="E485" s="7">
        <f t="shared" si="59"/>
        <v>0.1795131845841785</v>
      </c>
      <c r="F485">
        <v>864.0006000000285</v>
      </c>
      <c r="G485">
        <f t="shared" si="56"/>
        <v>155.09949918864609</v>
      </c>
    </row>
    <row r="486" spans="1:10" x14ac:dyDescent="0.25">
      <c r="A486" s="3" t="s">
        <v>29</v>
      </c>
      <c r="B486" s="3" t="s">
        <v>5</v>
      </c>
      <c r="C486" t="s">
        <v>91</v>
      </c>
      <c r="D486" s="4">
        <v>207</v>
      </c>
      <c r="E486" s="7">
        <f t="shared" si="59"/>
        <v>0.2099391480730223</v>
      </c>
      <c r="F486">
        <v>864.0006000000285</v>
      </c>
      <c r="G486">
        <f t="shared" si="56"/>
        <v>181.38754989858609</v>
      </c>
    </row>
    <row r="487" spans="1:10" x14ac:dyDescent="0.25">
      <c r="A487" s="3" t="s">
        <v>29</v>
      </c>
      <c r="B487" s="3" t="s">
        <v>5</v>
      </c>
      <c r="C487" t="s">
        <v>92</v>
      </c>
      <c r="D487" s="4">
        <v>63</v>
      </c>
      <c r="E487" s="7">
        <f t="shared" si="59"/>
        <v>6.3894523326572014E-2</v>
      </c>
      <c r="F487">
        <v>864.0006000000285</v>
      </c>
      <c r="G487">
        <f t="shared" si="56"/>
        <v>55.204906490874038</v>
      </c>
    </row>
    <row r="488" spans="1:10" x14ac:dyDescent="0.25">
      <c r="A488" s="3" t="s">
        <v>29</v>
      </c>
      <c r="B488" s="3" t="s">
        <v>5</v>
      </c>
      <c r="C488" t="s">
        <v>93</v>
      </c>
      <c r="D488" s="4">
        <v>150</v>
      </c>
      <c r="E488" s="7">
        <f t="shared" si="59"/>
        <v>0.15212981744421908</v>
      </c>
      <c r="F488">
        <v>864.0006000000285</v>
      </c>
      <c r="G488">
        <f t="shared" si="56"/>
        <v>131.44025354970009</v>
      </c>
    </row>
    <row r="489" spans="1:10" s="22" customFormat="1" x14ac:dyDescent="0.25">
      <c r="A489" s="21" t="s">
        <v>29</v>
      </c>
      <c r="B489" s="21" t="s">
        <v>6</v>
      </c>
      <c r="C489" s="22" t="s">
        <v>94</v>
      </c>
      <c r="D489" s="23">
        <v>120</v>
      </c>
      <c r="E489" s="24">
        <f>+D489/SUM($D$489:$D$502)</f>
        <v>5.636449037106623E-2</v>
      </c>
      <c r="F489" s="22">
        <v>15483.828399999649</v>
      </c>
      <c r="G489" s="22">
        <f t="shared" si="56"/>
        <v>872.73809675902203</v>
      </c>
      <c r="H489" s="25">
        <f>+SUM(E489:E502)</f>
        <v>1.0000000000000002</v>
      </c>
      <c r="I489" s="22">
        <f>+SUM(G489:G502)</f>
        <v>15483.828399999649</v>
      </c>
      <c r="J489" s="22" t="b">
        <f>+I489=F489</f>
        <v>1</v>
      </c>
    </row>
    <row r="490" spans="1:10" x14ac:dyDescent="0.25">
      <c r="A490" s="3" t="s">
        <v>29</v>
      </c>
      <c r="B490" s="3" t="s">
        <v>6</v>
      </c>
      <c r="C490" t="s">
        <v>95</v>
      </c>
      <c r="D490" s="4">
        <v>60</v>
      </c>
      <c r="E490" s="7">
        <f t="shared" ref="E490:E502" si="60">+D490/SUM($D$489:$D$502)</f>
        <v>2.8182245185533115E-2</v>
      </c>
      <c r="F490">
        <v>15483.828399999649</v>
      </c>
      <c r="G490">
        <f t="shared" si="56"/>
        <v>436.36904837951101</v>
      </c>
    </row>
    <row r="491" spans="1:10" x14ac:dyDescent="0.25">
      <c r="A491" s="3" t="s">
        <v>29</v>
      </c>
      <c r="B491" s="3" t="s">
        <v>6</v>
      </c>
      <c r="C491" t="s">
        <v>96</v>
      </c>
      <c r="D491" s="4">
        <v>60</v>
      </c>
      <c r="E491" s="7">
        <f t="shared" si="60"/>
        <v>2.8182245185533115E-2</v>
      </c>
      <c r="F491">
        <v>15483.828399999649</v>
      </c>
      <c r="G491">
        <f t="shared" si="56"/>
        <v>436.36904837951101</v>
      </c>
    </row>
    <row r="492" spans="1:10" x14ac:dyDescent="0.25">
      <c r="A492" s="3" t="s">
        <v>29</v>
      </c>
      <c r="B492" s="3" t="s">
        <v>6</v>
      </c>
      <c r="C492" t="s">
        <v>97</v>
      </c>
      <c r="D492" s="4">
        <v>60</v>
      </c>
      <c r="E492" s="7">
        <f t="shared" si="60"/>
        <v>2.8182245185533115E-2</v>
      </c>
      <c r="F492">
        <v>15483.828399999649</v>
      </c>
      <c r="G492">
        <f t="shared" si="56"/>
        <v>436.36904837951101</v>
      </c>
    </row>
    <row r="493" spans="1:10" x14ac:dyDescent="0.25">
      <c r="A493" s="3" t="s">
        <v>29</v>
      </c>
      <c r="B493" s="3" t="s">
        <v>6</v>
      </c>
      <c r="C493" t="s">
        <v>98</v>
      </c>
      <c r="D493" s="4">
        <v>180</v>
      </c>
      <c r="E493" s="7">
        <f t="shared" si="60"/>
        <v>8.4546735556599348E-2</v>
      </c>
      <c r="F493">
        <v>15483.828399999649</v>
      </c>
      <c r="G493">
        <f t="shared" si="56"/>
        <v>1309.107145138533</v>
      </c>
    </row>
    <row r="494" spans="1:10" x14ac:dyDescent="0.25">
      <c r="A494" s="3" t="s">
        <v>29</v>
      </c>
      <c r="B494" s="3" t="s">
        <v>6</v>
      </c>
      <c r="C494" t="s">
        <v>99</v>
      </c>
      <c r="D494" s="4">
        <v>149</v>
      </c>
      <c r="E494" s="7">
        <f t="shared" si="60"/>
        <v>6.998590887740723E-2</v>
      </c>
      <c r="F494">
        <v>15483.828399999649</v>
      </c>
      <c r="G494">
        <f t="shared" si="56"/>
        <v>1083.6498034757856</v>
      </c>
    </row>
    <row r="495" spans="1:10" x14ac:dyDescent="0.25">
      <c r="A495" s="3" t="s">
        <v>29</v>
      </c>
      <c r="B495" s="3" t="s">
        <v>6</v>
      </c>
      <c r="C495" t="s">
        <v>100</v>
      </c>
      <c r="D495" s="4">
        <v>90</v>
      </c>
      <c r="E495" s="7">
        <f t="shared" si="60"/>
        <v>4.2273367778299674E-2</v>
      </c>
      <c r="F495">
        <v>15483.828399999649</v>
      </c>
      <c r="G495">
        <f t="shared" si="56"/>
        <v>654.55357256926652</v>
      </c>
    </row>
    <row r="496" spans="1:10" x14ac:dyDescent="0.25">
      <c r="A496" s="3" t="s">
        <v>29</v>
      </c>
      <c r="B496" s="3" t="s">
        <v>6</v>
      </c>
      <c r="C496" t="s">
        <v>101</v>
      </c>
      <c r="D496" s="4">
        <v>360</v>
      </c>
      <c r="E496" s="7">
        <f t="shared" si="60"/>
        <v>0.1690934711131987</v>
      </c>
      <c r="F496">
        <v>15483.828399999649</v>
      </c>
      <c r="G496">
        <f t="shared" si="56"/>
        <v>2618.2142902770661</v>
      </c>
    </row>
    <row r="497" spans="1:10" x14ac:dyDescent="0.25">
      <c r="A497" s="3" t="s">
        <v>29</v>
      </c>
      <c r="B497" s="3" t="s">
        <v>6</v>
      </c>
      <c r="C497" t="s">
        <v>102</v>
      </c>
      <c r="D497" s="4">
        <v>60</v>
      </c>
      <c r="E497" s="7">
        <f t="shared" si="60"/>
        <v>2.8182245185533115E-2</v>
      </c>
      <c r="F497">
        <v>15483.828399999649</v>
      </c>
      <c r="G497">
        <f t="shared" si="56"/>
        <v>436.36904837951101</v>
      </c>
    </row>
    <row r="498" spans="1:10" x14ac:dyDescent="0.25">
      <c r="A498" s="3" t="s">
        <v>29</v>
      </c>
      <c r="B498" s="3" t="s">
        <v>6</v>
      </c>
      <c r="C498" t="s">
        <v>103</v>
      </c>
      <c r="D498" s="4">
        <v>300</v>
      </c>
      <c r="E498" s="7">
        <f t="shared" si="60"/>
        <v>0.14091122592766558</v>
      </c>
      <c r="F498">
        <v>15483.828399999649</v>
      </c>
      <c r="G498">
        <f t="shared" si="56"/>
        <v>2181.8452418975553</v>
      </c>
    </row>
    <row r="499" spans="1:10" x14ac:dyDescent="0.25">
      <c r="A499" s="3" t="s">
        <v>29</v>
      </c>
      <c r="B499" s="3" t="s">
        <v>6</v>
      </c>
      <c r="C499" t="s">
        <v>255</v>
      </c>
      <c r="D499" s="4">
        <v>90</v>
      </c>
      <c r="E499" s="7">
        <f t="shared" si="60"/>
        <v>4.2273367778299674E-2</v>
      </c>
      <c r="F499">
        <v>15483.828399999649</v>
      </c>
      <c r="G499">
        <f t="shared" si="56"/>
        <v>654.55357256926652</v>
      </c>
    </row>
    <row r="500" spans="1:10" x14ac:dyDescent="0.25">
      <c r="A500" s="3" t="s">
        <v>29</v>
      </c>
      <c r="B500" s="3" t="s">
        <v>6</v>
      </c>
      <c r="C500" t="s">
        <v>104</v>
      </c>
      <c r="D500" s="4">
        <v>120</v>
      </c>
      <c r="E500" s="7">
        <f t="shared" si="60"/>
        <v>5.636449037106623E-2</v>
      </c>
      <c r="F500">
        <v>15483.828399999649</v>
      </c>
      <c r="G500">
        <f t="shared" si="56"/>
        <v>872.73809675902203</v>
      </c>
    </row>
    <row r="501" spans="1:10" x14ac:dyDescent="0.25">
      <c r="A501" s="3" t="s">
        <v>29</v>
      </c>
      <c r="B501" s="3" t="s">
        <v>6</v>
      </c>
      <c r="C501" t="s">
        <v>105</v>
      </c>
      <c r="D501" s="4">
        <v>300</v>
      </c>
      <c r="E501" s="7">
        <f t="shared" si="60"/>
        <v>0.14091122592766558</v>
      </c>
      <c r="F501">
        <v>15483.828399999649</v>
      </c>
      <c r="G501">
        <f t="shared" si="56"/>
        <v>2181.8452418975553</v>
      </c>
    </row>
    <row r="502" spans="1:10" x14ac:dyDescent="0.25">
      <c r="A502" s="3" t="s">
        <v>29</v>
      </c>
      <c r="B502" s="3" t="s">
        <v>6</v>
      </c>
      <c r="C502" t="s">
        <v>106</v>
      </c>
      <c r="D502" s="4">
        <v>180</v>
      </c>
      <c r="E502" s="7">
        <f t="shared" si="60"/>
        <v>8.4546735556599348E-2</v>
      </c>
      <c r="F502">
        <v>15483.828399999649</v>
      </c>
      <c r="G502">
        <f t="shared" si="56"/>
        <v>1309.107145138533</v>
      </c>
    </row>
    <row r="503" spans="1:10" s="22" customFormat="1" x14ac:dyDescent="0.25">
      <c r="A503" s="21" t="s">
        <v>29</v>
      </c>
      <c r="B503" s="21" t="s">
        <v>7</v>
      </c>
      <c r="C503" s="22" t="s">
        <v>107</v>
      </c>
      <c r="D503" s="23">
        <v>59</v>
      </c>
      <c r="E503" s="24">
        <f>+D503/SUM($D$503:$D$509)</f>
        <v>4.3801039346696359E-2</v>
      </c>
      <c r="F503" s="22">
        <v>110596.66899999994</v>
      </c>
      <c r="G503" s="22">
        <f t="shared" si="56"/>
        <v>4844.249050482551</v>
      </c>
      <c r="H503" s="25">
        <f>+SUM(E503:E509)</f>
        <v>1</v>
      </c>
      <c r="I503" s="22">
        <f>+SUM(G503:G509)</f>
        <v>110596.66899999992</v>
      </c>
      <c r="J503" s="22" t="b">
        <f>+I503=F503</f>
        <v>1</v>
      </c>
    </row>
    <row r="504" spans="1:10" x14ac:dyDescent="0.25">
      <c r="A504" s="3" t="s">
        <v>29</v>
      </c>
      <c r="B504" s="3" t="s">
        <v>7</v>
      </c>
      <c r="C504" t="s">
        <v>108</v>
      </c>
      <c r="D504" s="4">
        <v>150</v>
      </c>
      <c r="E504" s="7">
        <f t="shared" ref="E504:E509" si="61">+D504/SUM($D$503:$D$509)</f>
        <v>0.111358574610245</v>
      </c>
      <c r="F504">
        <v>110596.66899999994</v>
      </c>
      <c r="G504">
        <f t="shared" si="56"/>
        <v>12315.887416481062</v>
      </c>
    </row>
    <row r="505" spans="1:10" x14ac:dyDescent="0.25">
      <c r="A505" s="3" t="s">
        <v>29</v>
      </c>
      <c r="B505" s="3" t="s">
        <v>7</v>
      </c>
      <c r="C505" t="s">
        <v>7</v>
      </c>
      <c r="D505" s="4">
        <v>570</v>
      </c>
      <c r="E505" s="7">
        <f t="shared" si="61"/>
        <v>0.42316258351893093</v>
      </c>
      <c r="F505">
        <v>110596.66899999994</v>
      </c>
      <c r="G505">
        <f t="shared" si="56"/>
        <v>46800.372182628031</v>
      </c>
    </row>
    <row r="506" spans="1:10" x14ac:dyDescent="0.25">
      <c r="A506" s="3" t="s">
        <v>29</v>
      </c>
      <c r="B506" s="3" t="s">
        <v>7</v>
      </c>
      <c r="C506" t="s">
        <v>109</v>
      </c>
      <c r="D506" s="4">
        <v>90</v>
      </c>
      <c r="E506" s="7">
        <f t="shared" si="61"/>
        <v>6.6815144766147E-2</v>
      </c>
      <c r="F506">
        <v>110596.66899999994</v>
      </c>
      <c r="G506">
        <f t="shared" si="56"/>
        <v>7389.5324498886375</v>
      </c>
    </row>
    <row r="507" spans="1:10" x14ac:dyDescent="0.25">
      <c r="A507" s="3" t="s">
        <v>29</v>
      </c>
      <c r="B507" s="3" t="s">
        <v>7</v>
      </c>
      <c r="C507" t="s">
        <v>110</v>
      </c>
      <c r="D507" s="4">
        <v>149</v>
      </c>
      <c r="E507" s="7">
        <f t="shared" si="61"/>
        <v>0.11061618411284335</v>
      </c>
      <c r="F507">
        <v>110596.66899999994</v>
      </c>
      <c r="G507">
        <f t="shared" si="56"/>
        <v>12233.781500371188</v>
      </c>
    </row>
    <row r="508" spans="1:10" x14ac:dyDescent="0.25">
      <c r="A508" s="3" t="s">
        <v>29</v>
      </c>
      <c r="B508" s="3" t="s">
        <v>7</v>
      </c>
      <c r="C508" t="s">
        <v>111</v>
      </c>
      <c r="D508" s="4">
        <v>120</v>
      </c>
      <c r="E508" s="7">
        <f t="shared" si="61"/>
        <v>8.9086859688195991E-2</v>
      </c>
      <c r="F508">
        <v>110596.66899999994</v>
      </c>
      <c r="G508">
        <f t="shared" si="56"/>
        <v>9852.7099331848494</v>
      </c>
    </row>
    <row r="509" spans="1:10" x14ac:dyDescent="0.25">
      <c r="A509" s="3" t="s">
        <v>29</v>
      </c>
      <c r="B509" s="3" t="s">
        <v>7</v>
      </c>
      <c r="C509" t="s">
        <v>112</v>
      </c>
      <c r="D509" s="4">
        <v>209</v>
      </c>
      <c r="E509" s="7">
        <f t="shared" si="61"/>
        <v>0.15515961395694136</v>
      </c>
      <c r="F509">
        <v>110596.66899999994</v>
      </c>
      <c r="G509">
        <f t="shared" si="56"/>
        <v>17160.136466963613</v>
      </c>
    </row>
    <row r="510" spans="1:10" s="22" customFormat="1" x14ac:dyDescent="0.25">
      <c r="A510" s="21" t="s">
        <v>29</v>
      </c>
      <c r="B510" s="21" t="s">
        <v>8</v>
      </c>
      <c r="C510" s="22" t="s">
        <v>115</v>
      </c>
      <c r="D510" s="23">
        <v>30</v>
      </c>
      <c r="E510" s="24">
        <f>+D510/SUM($D$510)</f>
        <v>1</v>
      </c>
      <c r="F510" s="22">
        <v>18190.78</v>
      </c>
      <c r="G510" s="22">
        <f t="shared" si="56"/>
        <v>18190.78</v>
      </c>
      <c r="H510" s="25">
        <f>+SUM(E510)</f>
        <v>1</v>
      </c>
      <c r="I510" s="22">
        <f>+SUM(G510)</f>
        <v>18190.78</v>
      </c>
      <c r="J510" s="22" t="b">
        <f t="shared" ref="J510:J511" si="62">+I510=F510</f>
        <v>1</v>
      </c>
    </row>
    <row r="511" spans="1:10" s="22" customFormat="1" x14ac:dyDescent="0.25">
      <c r="A511" s="21" t="s">
        <v>29</v>
      </c>
      <c r="B511" s="21" t="s">
        <v>9</v>
      </c>
      <c r="C511" s="22" t="s">
        <v>116</v>
      </c>
      <c r="D511" s="23">
        <v>57</v>
      </c>
      <c r="E511" s="24">
        <f>+D511/SUM($D$511:$D$535)</f>
        <v>1.0171306209850108E-2</v>
      </c>
      <c r="F511" s="22">
        <v>328905.22009999817</v>
      </c>
      <c r="G511" s="22">
        <f t="shared" si="56"/>
        <v>3345.3957076552279</v>
      </c>
      <c r="H511" s="25">
        <f>+SUM(E511:E535)</f>
        <v>1</v>
      </c>
      <c r="I511" s="22">
        <f>+SUM(G511:G535)</f>
        <v>328905.22009999829</v>
      </c>
      <c r="J511" s="22" t="b">
        <f t="shared" si="62"/>
        <v>1</v>
      </c>
    </row>
    <row r="512" spans="1:10" x14ac:dyDescent="0.25">
      <c r="A512" s="3" t="s">
        <v>29</v>
      </c>
      <c r="B512" s="3" t="s">
        <v>9</v>
      </c>
      <c r="C512" t="s">
        <v>117</v>
      </c>
      <c r="D512" s="4">
        <v>60</v>
      </c>
      <c r="E512" s="7">
        <f t="shared" ref="E512:E535" si="63">+D512/SUM($D$511:$D$535)</f>
        <v>1.0706638115631691E-2</v>
      </c>
      <c r="F512">
        <v>328905.22009999817</v>
      </c>
      <c r="G512">
        <f t="shared" si="56"/>
        <v>3521.4691659528712</v>
      </c>
    </row>
    <row r="513" spans="1:7" x14ac:dyDescent="0.25">
      <c r="A513" s="3" t="s">
        <v>29</v>
      </c>
      <c r="B513" s="3" t="s">
        <v>9</v>
      </c>
      <c r="C513" t="s">
        <v>118</v>
      </c>
      <c r="D513" s="4">
        <v>150</v>
      </c>
      <c r="E513" s="7">
        <f t="shared" si="63"/>
        <v>2.676659528907923E-2</v>
      </c>
      <c r="F513">
        <v>328905.22009999817</v>
      </c>
      <c r="G513">
        <f t="shared" si="56"/>
        <v>8803.6729148821778</v>
      </c>
    </row>
    <row r="514" spans="1:7" x14ac:dyDescent="0.25">
      <c r="A514" s="3" t="s">
        <v>29</v>
      </c>
      <c r="B514" s="3" t="s">
        <v>9</v>
      </c>
      <c r="C514" t="s">
        <v>119</v>
      </c>
      <c r="D514" s="4">
        <v>120</v>
      </c>
      <c r="E514" s="7">
        <f t="shared" si="63"/>
        <v>2.1413276231263382E-2</v>
      </c>
      <c r="F514">
        <v>328905.22009999817</v>
      </c>
      <c r="G514">
        <f t="shared" si="56"/>
        <v>7042.9383319057424</v>
      </c>
    </row>
    <row r="515" spans="1:7" x14ac:dyDescent="0.25">
      <c r="A515" s="3" t="s">
        <v>29</v>
      </c>
      <c r="B515" s="3" t="s">
        <v>9</v>
      </c>
      <c r="C515" t="s">
        <v>256</v>
      </c>
      <c r="D515" s="4">
        <v>90</v>
      </c>
      <c r="E515" s="7">
        <f t="shared" si="63"/>
        <v>1.6059957173447537E-2</v>
      </c>
      <c r="F515">
        <v>328905.22009999817</v>
      </c>
      <c r="G515">
        <f t="shared" si="56"/>
        <v>5282.203748929307</v>
      </c>
    </row>
    <row r="516" spans="1:7" x14ac:dyDescent="0.25">
      <c r="A516" s="3" t="s">
        <v>29</v>
      </c>
      <c r="B516" s="3" t="s">
        <v>9</v>
      </c>
      <c r="C516" t="s">
        <v>120</v>
      </c>
      <c r="D516" s="4">
        <v>410</v>
      </c>
      <c r="E516" s="7">
        <f t="shared" si="63"/>
        <v>7.3162027123483228E-2</v>
      </c>
      <c r="F516">
        <v>328905.22009999817</v>
      </c>
      <c r="G516">
        <f t="shared" si="56"/>
        <v>24063.372634011288</v>
      </c>
    </row>
    <row r="517" spans="1:7" x14ac:dyDescent="0.25">
      <c r="A517" s="3" t="s">
        <v>29</v>
      </c>
      <c r="B517" s="3" t="s">
        <v>9</v>
      </c>
      <c r="C517" t="s">
        <v>121</v>
      </c>
      <c r="D517" s="4">
        <v>209</v>
      </c>
      <c r="E517" s="7">
        <f t="shared" si="63"/>
        <v>3.7294789436117061E-2</v>
      </c>
      <c r="F517">
        <v>328905.22009999817</v>
      </c>
      <c r="G517">
        <f t="shared" si="56"/>
        <v>12266.450928069169</v>
      </c>
    </row>
    <row r="518" spans="1:7" x14ac:dyDescent="0.25">
      <c r="A518" s="3" t="s">
        <v>29</v>
      </c>
      <c r="B518" s="3" t="s">
        <v>9</v>
      </c>
      <c r="C518" t="s">
        <v>122</v>
      </c>
      <c r="D518" s="4">
        <v>120</v>
      </c>
      <c r="E518" s="7">
        <f t="shared" si="63"/>
        <v>2.1413276231263382E-2</v>
      </c>
      <c r="F518">
        <v>328905.22009999817</v>
      </c>
      <c r="G518">
        <f t="shared" si="56"/>
        <v>7042.9383319057424</v>
      </c>
    </row>
    <row r="519" spans="1:7" x14ac:dyDescent="0.25">
      <c r="A519" s="3" t="s">
        <v>29</v>
      </c>
      <c r="B519" s="3" t="s">
        <v>9</v>
      </c>
      <c r="C519" t="s">
        <v>123</v>
      </c>
      <c r="D519" s="4">
        <v>119</v>
      </c>
      <c r="E519" s="7">
        <f t="shared" si="63"/>
        <v>2.123483226266952E-2</v>
      </c>
      <c r="F519">
        <v>328905.22009999817</v>
      </c>
      <c r="G519">
        <f t="shared" si="56"/>
        <v>6984.2471791398611</v>
      </c>
    </row>
    <row r="520" spans="1:7" x14ac:dyDescent="0.25">
      <c r="A520" s="3" t="s">
        <v>29</v>
      </c>
      <c r="B520" s="3" t="s">
        <v>9</v>
      </c>
      <c r="C520" t="s">
        <v>124</v>
      </c>
      <c r="D520" s="4">
        <v>60</v>
      </c>
      <c r="E520" s="7">
        <f t="shared" si="63"/>
        <v>1.0706638115631691E-2</v>
      </c>
      <c r="F520">
        <v>328905.22009999817</v>
      </c>
      <c r="G520">
        <f t="shared" si="56"/>
        <v>3521.4691659528712</v>
      </c>
    </row>
    <row r="521" spans="1:7" x14ac:dyDescent="0.25">
      <c r="A521" s="3" t="s">
        <v>29</v>
      </c>
      <c r="B521" s="3" t="s">
        <v>9</v>
      </c>
      <c r="C521" t="s">
        <v>125</v>
      </c>
      <c r="D521" s="4">
        <v>2379</v>
      </c>
      <c r="E521" s="7">
        <f t="shared" si="63"/>
        <v>0.42451820128479656</v>
      </c>
      <c r="F521">
        <v>328905.22009999817</v>
      </c>
      <c r="G521">
        <f t="shared" si="56"/>
        <v>139626.25243003134</v>
      </c>
    </row>
    <row r="522" spans="1:7" x14ac:dyDescent="0.25">
      <c r="A522" s="3" t="s">
        <v>29</v>
      </c>
      <c r="B522" s="3" t="s">
        <v>9</v>
      </c>
      <c r="C522" t="s">
        <v>126</v>
      </c>
      <c r="D522" s="4">
        <v>60</v>
      </c>
      <c r="E522" s="7">
        <f t="shared" si="63"/>
        <v>1.0706638115631691E-2</v>
      </c>
      <c r="F522">
        <v>328905.22009999817</v>
      </c>
      <c r="G522">
        <f t="shared" si="56"/>
        <v>3521.4691659528712</v>
      </c>
    </row>
    <row r="523" spans="1:7" x14ac:dyDescent="0.25">
      <c r="A523" s="3" t="s">
        <v>29</v>
      </c>
      <c r="B523" s="3" t="s">
        <v>9</v>
      </c>
      <c r="C523" t="s">
        <v>127</v>
      </c>
      <c r="D523" s="4">
        <v>30</v>
      </c>
      <c r="E523" s="7">
        <f t="shared" si="63"/>
        <v>5.3533190578158455E-3</v>
      </c>
      <c r="F523">
        <v>328905.22009999817</v>
      </c>
      <c r="G523">
        <f t="shared" si="56"/>
        <v>1760.7345829764356</v>
      </c>
    </row>
    <row r="524" spans="1:7" x14ac:dyDescent="0.25">
      <c r="A524" s="3" t="s">
        <v>29</v>
      </c>
      <c r="B524" s="3" t="s">
        <v>9</v>
      </c>
      <c r="C524" t="s">
        <v>128</v>
      </c>
      <c r="D524" s="4">
        <v>149</v>
      </c>
      <c r="E524" s="7">
        <f t="shared" si="63"/>
        <v>2.6588151320485368E-2</v>
      </c>
      <c r="F524">
        <v>328905.22009999817</v>
      </c>
      <c r="G524">
        <f t="shared" si="56"/>
        <v>8744.9817621162965</v>
      </c>
    </row>
    <row r="525" spans="1:7" x14ac:dyDescent="0.25">
      <c r="A525" s="3" t="s">
        <v>29</v>
      </c>
      <c r="B525" s="3" t="s">
        <v>9</v>
      </c>
      <c r="C525" t="s">
        <v>129</v>
      </c>
      <c r="D525" s="4">
        <v>280</v>
      </c>
      <c r="E525" s="7">
        <f t="shared" si="63"/>
        <v>4.9964311206281226E-2</v>
      </c>
      <c r="F525">
        <v>328905.22009999817</v>
      </c>
      <c r="G525">
        <f t="shared" si="56"/>
        <v>16433.52277444673</v>
      </c>
    </row>
    <row r="526" spans="1:7" x14ac:dyDescent="0.25">
      <c r="A526" s="3" t="s">
        <v>29</v>
      </c>
      <c r="B526" s="3" t="s">
        <v>9</v>
      </c>
      <c r="C526" t="s">
        <v>130</v>
      </c>
      <c r="D526" s="4">
        <v>90</v>
      </c>
      <c r="E526" s="7">
        <f t="shared" si="63"/>
        <v>1.6059957173447537E-2</v>
      </c>
      <c r="F526">
        <v>328905.22009999817</v>
      </c>
      <c r="G526">
        <f t="shared" si="56"/>
        <v>5282.203748929307</v>
      </c>
    </row>
    <row r="527" spans="1:7" x14ac:dyDescent="0.25">
      <c r="A527" s="3" t="s">
        <v>29</v>
      </c>
      <c r="B527" s="3" t="s">
        <v>9</v>
      </c>
      <c r="C527" t="s">
        <v>131</v>
      </c>
      <c r="D527" s="4">
        <v>120</v>
      </c>
      <c r="E527" s="7">
        <f t="shared" si="63"/>
        <v>2.1413276231263382E-2</v>
      </c>
      <c r="F527">
        <v>328905.22009999817</v>
      </c>
      <c r="G527">
        <f t="shared" si="56"/>
        <v>7042.9383319057424</v>
      </c>
    </row>
    <row r="528" spans="1:7" x14ac:dyDescent="0.25">
      <c r="A528" s="3" t="s">
        <v>29</v>
      </c>
      <c r="B528" s="3" t="s">
        <v>9</v>
      </c>
      <c r="C528" t="s">
        <v>132</v>
      </c>
      <c r="D528" s="4">
        <v>60</v>
      </c>
      <c r="E528" s="7">
        <f t="shared" si="63"/>
        <v>1.0706638115631691E-2</v>
      </c>
      <c r="F528">
        <v>328905.22009999817</v>
      </c>
      <c r="G528">
        <f t="shared" si="56"/>
        <v>3521.4691659528712</v>
      </c>
    </row>
    <row r="529" spans="1:10" x14ac:dyDescent="0.25">
      <c r="A529" s="3" t="s">
        <v>29</v>
      </c>
      <c r="B529" s="3" t="s">
        <v>9</v>
      </c>
      <c r="C529" t="s">
        <v>133</v>
      </c>
      <c r="D529" s="4">
        <v>330</v>
      </c>
      <c r="E529" s="7">
        <f t="shared" si="63"/>
        <v>5.8886509635974305E-2</v>
      </c>
      <c r="F529">
        <v>328905.22009999817</v>
      </c>
      <c r="G529">
        <f t="shared" ref="G529:G592" si="64">+E529*F529</f>
        <v>19368.080412740794</v>
      </c>
    </row>
    <row r="530" spans="1:10" x14ac:dyDescent="0.25">
      <c r="A530" s="3" t="s">
        <v>29</v>
      </c>
      <c r="B530" s="3" t="s">
        <v>9</v>
      </c>
      <c r="C530" t="s">
        <v>134</v>
      </c>
      <c r="D530" s="4">
        <v>60</v>
      </c>
      <c r="E530" s="7">
        <f t="shared" si="63"/>
        <v>1.0706638115631691E-2</v>
      </c>
      <c r="F530">
        <v>328905.22009999817</v>
      </c>
      <c r="G530">
        <f t="shared" si="64"/>
        <v>3521.4691659528712</v>
      </c>
    </row>
    <row r="531" spans="1:10" x14ac:dyDescent="0.25">
      <c r="A531" s="3" t="s">
        <v>29</v>
      </c>
      <c r="B531" s="3" t="s">
        <v>9</v>
      </c>
      <c r="C531" t="s">
        <v>135</v>
      </c>
      <c r="D531" s="4">
        <v>180</v>
      </c>
      <c r="E531" s="7">
        <f t="shared" si="63"/>
        <v>3.2119914346895075E-2</v>
      </c>
      <c r="F531">
        <v>328905.22009999817</v>
      </c>
      <c r="G531">
        <f t="shared" si="64"/>
        <v>10564.407497858614</v>
      </c>
    </row>
    <row r="532" spans="1:10" x14ac:dyDescent="0.25">
      <c r="A532" s="3" t="s">
        <v>29</v>
      </c>
      <c r="B532" s="3" t="s">
        <v>9</v>
      </c>
      <c r="C532" t="s">
        <v>136</v>
      </c>
      <c r="D532" s="4">
        <v>150</v>
      </c>
      <c r="E532" s="7">
        <f t="shared" si="63"/>
        <v>2.676659528907923E-2</v>
      </c>
      <c r="F532">
        <v>328905.22009999817</v>
      </c>
      <c r="G532">
        <f t="shared" si="64"/>
        <v>8803.6729148821778</v>
      </c>
    </row>
    <row r="533" spans="1:10" x14ac:dyDescent="0.25">
      <c r="A533" s="3" t="s">
        <v>29</v>
      </c>
      <c r="B533" s="3" t="s">
        <v>9</v>
      </c>
      <c r="C533" t="s">
        <v>137</v>
      </c>
      <c r="D533" s="4">
        <v>111</v>
      </c>
      <c r="E533" s="7">
        <f t="shared" si="63"/>
        <v>1.980728051391863E-2</v>
      </c>
      <c r="F533">
        <v>328905.22009999817</v>
      </c>
      <c r="G533">
        <f t="shared" si="64"/>
        <v>6514.7179570128119</v>
      </c>
    </row>
    <row r="534" spans="1:10" x14ac:dyDescent="0.25">
      <c r="A534" s="3" t="s">
        <v>29</v>
      </c>
      <c r="B534" s="3" t="s">
        <v>9</v>
      </c>
      <c r="C534" t="s">
        <v>138</v>
      </c>
      <c r="D534" s="4">
        <v>150</v>
      </c>
      <c r="E534" s="7">
        <f t="shared" si="63"/>
        <v>2.676659528907923E-2</v>
      </c>
      <c r="F534">
        <v>328905.22009999817</v>
      </c>
      <c r="G534">
        <f t="shared" si="64"/>
        <v>8803.6729148821778</v>
      </c>
    </row>
    <row r="535" spans="1:10" x14ac:dyDescent="0.25">
      <c r="A535" s="3" t="s">
        <v>29</v>
      </c>
      <c r="B535" s="3" t="s">
        <v>9</v>
      </c>
      <c r="C535" t="s">
        <v>139</v>
      </c>
      <c r="D535" s="4">
        <v>60</v>
      </c>
      <c r="E535" s="7">
        <f t="shared" si="63"/>
        <v>1.0706638115631691E-2</v>
      </c>
      <c r="F535">
        <v>328905.22009999817</v>
      </c>
      <c r="G535">
        <f t="shared" si="64"/>
        <v>3521.4691659528712</v>
      </c>
    </row>
    <row r="536" spans="1:10" s="22" customFormat="1" x14ac:dyDescent="0.25">
      <c r="A536" s="21" t="s">
        <v>29</v>
      </c>
      <c r="B536" s="21" t="s">
        <v>10</v>
      </c>
      <c r="C536" s="22" t="s">
        <v>140</v>
      </c>
      <c r="D536" s="23">
        <v>90</v>
      </c>
      <c r="E536" s="24">
        <f>+D536/SUM($D$536:$D$541)</f>
        <v>7.9016681299385425E-2</v>
      </c>
      <c r="F536" s="22">
        <v>111344.06010000006</v>
      </c>
      <c r="G536" s="22">
        <f t="shared" si="64"/>
        <v>8798.0381115013224</v>
      </c>
      <c r="H536" s="25">
        <f>+SUM(E536:E541)</f>
        <v>1</v>
      </c>
      <c r="I536" s="22">
        <f>+SUM(G536:G541)</f>
        <v>111344.06010000006</v>
      </c>
      <c r="J536" s="22" t="b">
        <f>+I536=F536</f>
        <v>1</v>
      </c>
    </row>
    <row r="537" spans="1:10" x14ac:dyDescent="0.25">
      <c r="A537" s="3" t="s">
        <v>29</v>
      </c>
      <c r="B537" s="3" t="s">
        <v>10</v>
      </c>
      <c r="C537" t="s">
        <v>141</v>
      </c>
      <c r="D537" s="4">
        <v>329</v>
      </c>
      <c r="E537" s="7">
        <f t="shared" ref="E537:E541" si="65">+D537/SUM($D$536:$D$541)</f>
        <v>0.28884986830553117</v>
      </c>
      <c r="F537">
        <v>111344.06010000006</v>
      </c>
      <c r="G537">
        <f t="shared" si="64"/>
        <v>32161.717096488166</v>
      </c>
    </row>
    <row r="538" spans="1:10" x14ac:dyDescent="0.25">
      <c r="A538" s="3" t="s">
        <v>29</v>
      </c>
      <c r="B538" s="3" t="s">
        <v>10</v>
      </c>
      <c r="C538" t="s">
        <v>142</v>
      </c>
      <c r="D538" s="4">
        <v>390</v>
      </c>
      <c r="E538" s="7">
        <f t="shared" si="65"/>
        <v>0.34240561896400351</v>
      </c>
      <c r="F538">
        <v>111344.06010000006</v>
      </c>
      <c r="G538">
        <f t="shared" si="64"/>
        <v>38124.831816505728</v>
      </c>
    </row>
    <row r="539" spans="1:10" x14ac:dyDescent="0.25">
      <c r="A539" s="3" t="s">
        <v>29</v>
      </c>
      <c r="B539" s="3" t="s">
        <v>10</v>
      </c>
      <c r="C539" t="s">
        <v>143</v>
      </c>
      <c r="D539" s="4">
        <v>180</v>
      </c>
      <c r="E539" s="7">
        <f t="shared" si="65"/>
        <v>0.15803336259877085</v>
      </c>
      <c r="F539">
        <v>111344.06010000006</v>
      </c>
      <c r="G539">
        <f t="shared" si="64"/>
        <v>17596.076223002645</v>
      </c>
    </row>
    <row r="540" spans="1:10" x14ac:dyDescent="0.25">
      <c r="A540" s="3" t="s">
        <v>29</v>
      </c>
      <c r="B540" s="3" t="s">
        <v>10</v>
      </c>
      <c r="C540" t="s">
        <v>144</v>
      </c>
      <c r="D540" s="4">
        <v>30</v>
      </c>
      <c r="E540" s="7">
        <f t="shared" si="65"/>
        <v>2.6338893766461809E-2</v>
      </c>
      <c r="F540">
        <v>111344.06010000006</v>
      </c>
      <c r="G540">
        <f t="shared" si="64"/>
        <v>2932.6793705004407</v>
      </c>
    </row>
    <row r="541" spans="1:10" x14ac:dyDescent="0.25">
      <c r="A541" s="3" t="s">
        <v>29</v>
      </c>
      <c r="B541" s="3" t="s">
        <v>10</v>
      </c>
      <c r="C541" t="s">
        <v>145</v>
      </c>
      <c r="D541" s="4">
        <v>120</v>
      </c>
      <c r="E541" s="7">
        <f t="shared" si="65"/>
        <v>0.10535557506584724</v>
      </c>
      <c r="F541">
        <v>111344.06010000006</v>
      </c>
      <c r="G541">
        <f t="shared" si="64"/>
        <v>11730.717482001763</v>
      </c>
    </row>
    <row r="542" spans="1:10" s="22" customFormat="1" x14ac:dyDescent="0.25">
      <c r="A542" s="21" t="s">
        <v>29</v>
      </c>
      <c r="B542" s="21" t="s">
        <v>11</v>
      </c>
      <c r="C542" s="22" t="s">
        <v>146</v>
      </c>
      <c r="D542" s="23">
        <v>150</v>
      </c>
      <c r="E542" s="24">
        <f>+D542/SUM($D$542:$D$557)</f>
        <v>6.5019505851755532E-2</v>
      </c>
      <c r="F542" s="22">
        <v>53813.738799999701</v>
      </c>
      <c r="G542" s="22">
        <f t="shared" si="64"/>
        <v>3498.9427048114244</v>
      </c>
      <c r="H542" s="25">
        <f>+SUM(E542:E557)</f>
        <v>1</v>
      </c>
      <c r="I542" s="22">
        <f>+SUM(G542:G557)</f>
        <v>53813.738799999686</v>
      </c>
      <c r="J542" s="22" t="b">
        <f>+I542=F542</f>
        <v>1</v>
      </c>
    </row>
    <row r="543" spans="1:10" x14ac:dyDescent="0.25">
      <c r="A543" s="3" t="s">
        <v>29</v>
      </c>
      <c r="B543" s="3" t="s">
        <v>11</v>
      </c>
      <c r="C543" t="s">
        <v>147</v>
      </c>
      <c r="D543" s="4">
        <v>210</v>
      </c>
      <c r="E543" s="7">
        <f t="shared" ref="E543:E557" si="66">+D543/SUM($D$542:$D$557)</f>
        <v>9.1027308192457732E-2</v>
      </c>
      <c r="F543">
        <v>53813.738799999701</v>
      </c>
      <c r="G543">
        <f t="shared" si="64"/>
        <v>4898.519786735993</v>
      </c>
    </row>
    <row r="544" spans="1:10" x14ac:dyDescent="0.25">
      <c r="A544" s="3" t="s">
        <v>29</v>
      </c>
      <c r="B544" s="3" t="s">
        <v>11</v>
      </c>
      <c r="C544" t="s">
        <v>148</v>
      </c>
      <c r="D544" s="4">
        <v>60</v>
      </c>
      <c r="E544" s="7">
        <f t="shared" si="66"/>
        <v>2.600780234070221E-2</v>
      </c>
      <c r="F544">
        <v>53813.738799999701</v>
      </c>
      <c r="G544">
        <f t="shared" si="64"/>
        <v>1399.5770819245695</v>
      </c>
    </row>
    <row r="545" spans="1:10" x14ac:dyDescent="0.25">
      <c r="A545" s="3" t="s">
        <v>29</v>
      </c>
      <c r="B545" s="3" t="s">
        <v>11</v>
      </c>
      <c r="C545" t="s">
        <v>149</v>
      </c>
      <c r="D545" s="4">
        <v>60</v>
      </c>
      <c r="E545" s="7">
        <f t="shared" si="66"/>
        <v>2.600780234070221E-2</v>
      </c>
      <c r="F545">
        <v>53813.738799999701</v>
      </c>
      <c r="G545">
        <f t="shared" si="64"/>
        <v>1399.5770819245695</v>
      </c>
    </row>
    <row r="546" spans="1:10" x14ac:dyDescent="0.25">
      <c r="A546" s="3" t="s">
        <v>29</v>
      </c>
      <c r="B546" s="3" t="s">
        <v>11</v>
      </c>
      <c r="C546" t="s">
        <v>150</v>
      </c>
      <c r="D546" s="4">
        <v>240</v>
      </c>
      <c r="E546" s="7">
        <f t="shared" si="66"/>
        <v>0.10403120936280884</v>
      </c>
      <c r="F546">
        <v>53813.738799999701</v>
      </c>
      <c r="G546">
        <f t="shared" si="64"/>
        <v>5598.3083276982779</v>
      </c>
    </row>
    <row r="547" spans="1:10" x14ac:dyDescent="0.25">
      <c r="A547" s="3" t="s">
        <v>29</v>
      </c>
      <c r="B547" s="3" t="s">
        <v>11</v>
      </c>
      <c r="C547" t="s">
        <v>151</v>
      </c>
      <c r="D547" s="4">
        <v>210</v>
      </c>
      <c r="E547" s="7">
        <f t="shared" si="66"/>
        <v>9.1027308192457732E-2</v>
      </c>
      <c r="F547">
        <v>53813.738799999701</v>
      </c>
      <c r="G547">
        <f t="shared" si="64"/>
        <v>4898.519786735993</v>
      </c>
    </row>
    <row r="548" spans="1:10" x14ac:dyDescent="0.25">
      <c r="A548" s="3" t="s">
        <v>29</v>
      </c>
      <c r="B548" s="3" t="s">
        <v>11</v>
      </c>
      <c r="C548" t="s">
        <v>11</v>
      </c>
      <c r="D548" s="4">
        <v>464</v>
      </c>
      <c r="E548" s="7">
        <f t="shared" si="66"/>
        <v>0.20112700476809708</v>
      </c>
      <c r="F548">
        <v>53813.738799999701</v>
      </c>
      <c r="G548">
        <f t="shared" si="64"/>
        <v>10823.396100216671</v>
      </c>
    </row>
    <row r="549" spans="1:10" x14ac:dyDescent="0.25">
      <c r="A549" s="3" t="s">
        <v>29</v>
      </c>
      <c r="B549" s="3" t="s">
        <v>11</v>
      </c>
      <c r="C549" t="s">
        <v>152</v>
      </c>
      <c r="D549" s="4">
        <v>60</v>
      </c>
      <c r="E549" s="7">
        <f t="shared" si="66"/>
        <v>2.600780234070221E-2</v>
      </c>
      <c r="F549">
        <v>53813.738799999701</v>
      </c>
      <c r="G549">
        <f t="shared" si="64"/>
        <v>1399.5770819245695</v>
      </c>
    </row>
    <row r="550" spans="1:10" x14ac:dyDescent="0.25">
      <c r="A550" s="3" t="s">
        <v>29</v>
      </c>
      <c r="B550" s="3" t="s">
        <v>11</v>
      </c>
      <c r="C550" t="s">
        <v>153</v>
      </c>
      <c r="D550" s="4">
        <v>90</v>
      </c>
      <c r="E550" s="7">
        <f t="shared" si="66"/>
        <v>3.9011703511053319E-2</v>
      </c>
      <c r="F550">
        <v>53813.738799999701</v>
      </c>
      <c r="G550">
        <f t="shared" si="64"/>
        <v>2099.3656228868545</v>
      </c>
    </row>
    <row r="551" spans="1:10" x14ac:dyDescent="0.25">
      <c r="A551" s="3" t="s">
        <v>29</v>
      </c>
      <c r="B551" s="3" t="s">
        <v>11</v>
      </c>
      <c r="C551" t="s">
        <v>154</v>
      </c>
      <c r="D551" s="4">
        <v>89</v>
      </c>
      <c r="E551" s="7">
        <f t="shared" si="66"/>
        <v>3.8578240138708281E-2</v>
      </c>
      <c r="F551">
        <v>53813.738799999701</v>
      </c>
      <c r="G551">
        <f t="shared" si="64"/>
        <v>2076.0393381881117</v>
      </c>
    </row>
    <row r="552" spans="1:10" x14ac:dyDescent="0.25">
      <c r="A552" s="3" t="s">
        <v>29</v>
      </c>
      <c r="B552" s="3" t="s">
        <v>11</v>
      </c>
      <c r="C552" t="s">
        <v>155</v>
      </c>
      <c r="D552" s="4">
        <v>60</v>
      </c>
      <c r="E552" s="7">
        <f t="shared" si="66"/>
        <v>2.600780234070221E-2</v>
      </c>
      <c r="F552">
        <v>53813.738799999701</v>
      </c>
      <c r="G552">
        <f t="shared" si="64"/>
        <v>1399.5770819245695</v>
      </c>
    </row>
    <row r="553" spans="1:10" x14ac:dyDescent="0.25">
      <c r="A553" s="3" t="s">
        <v>29</v>
      </c>
      <c r="B553" s="3" t="s">
        <v>11</v>
      </c>
      <c r="C553" t="s">
        <v>156</v>
      </c>
      <c r="D553" s="4">
        <v>179</v>
      </c>
      <c r="E553" s="7">
        <f t="shared" si="66"/>
        <v>7.75899436497616E-2</v>
      </c>
      <c r="F553">
        <v>53813.738799999701</v>
      </c>
      <c r="G553">
        <f t="shared" si="64"/>
        <v>4175.4049610749662</v>
      </c>
    </row>
    <row r="554" spans="1:10" x14ac:dyDescent="0.25">
      <c r="A554" s="3" t="s">
        <v>29</v>
      </c>
      <c r="B554" s="3" t="s">
        <v>11</v>
      </c>
      <c r="C554" t="s">
        <v>157</v>
      </c>
      <c r="D554" s="4">
        <v>60</v>
      </c>
      <c r="E554" s="7">
        <f t="shared" si="66"/>
        <v>2.600780234070221E-2</v>
      </c>
      <c r="F554">
        <v>53813.738799999701</v>
      </c>
      <c r="G554">
        <f t="shared" si="64"/>
        <v>1399.5770819245695</v>
      </c>
    </row>
    <row r="555" spans="1:10" x14ac:dyDescent="0.25">
      <c r="A555" s="3" t="s">
        <v>29</v>
      </c>
      <c r="B555" s="3" t="s">
        <v>11</v>
      </c>
      <c r="C555" t="s">
        <v>158</v>
      </c>
      <c r="D555" s="4">
        <v>195</v>
      </c>
      <c r="E555" s="7">
        <f t="shared" si="66"/>
        <v>8.4525357607282178E-2</v>
      </c>
      <c r="F555">
        <v>53813.738799999701</v>
      </c>
      <c r="G555">
        <f t="shared" si="64"/>
        <v>4548.6255162548505</v>
      </c>
    </row>
    <row r="556" spans="1:10" x14ac:dyDescent="0.25">
      <c r="A556" s="3" t="s">
        <v>29</v>
      </c>
      <c r="B556" s="3" t="s">
        <v>11</v>
      </c>
      <c r="C556" t="s">
        <v>159</v>
      </c>
      <c r="D556" s="4">
        <v>60</v>
      </c>
      <c r="E556" s="7">
        <f t="shared" si="66"/>
        <v>2.600780234070221E-2</v>
      </c>
      <c r="F556">
        <v>53813.738799999701</v>
      </c>
      <c r="G556">
        <f t="shared" si="64"/>
        <v>1399.5770819245695</v>
      </c>
    </row>
    <row r="557" spans="1:10" x14ac:dyDescent="0.25">
      <c r="A557" s="3" t="s">
        <v>29</v>
      </c>
      <c r="B557" s="3" t="s">
        <v>11</v>
      </c>
      <c r="C557" t="s">
        <v>160</v>
      </c>
      <c r="D557" s="4">
        <v>120</v>
      </c>
      <c r="E557" s="7">
        <f t="shared" si="66"/>
        <v>5.2015604681404419E-2</v>
      </c>
      <c r="F557">
        <v>53813.738799999701</v>
      </c>
      <c r="G557">
        <f t="shared" si="64"/>
        <v>2799.154163849139</v>
      </c>
    </row>
    <row r="558" spans="1:10" s="22" customFormat="1" x14ac:dyDescent="0.25">
      <c r="A558" s="21" t="s">
        <v>29</v>
      </c>
      <c r="B558" s="21" t="s">
        <v>12</v>
      </c>
      <c r="C558" s="22" t="s">
        <v>161</v>
      </c>
      <c r="D558" s="23">
        <v>178</v>
      </c>
      <c r="E558" s="24">
        <f>+D558/SUM($D$558:$D$570)</f>
        <v>9.0126582278481013E-2</v>
      </c>
      <c r="F558" s="32">
        <v>50128.200599999749</v>
      </c>
      <c r="G558" s="22">
        <f t="shared" si="64"/>
        <v>4517.8833958480791</v>
      </c>
      <c r="H558" s="25">
        <f>+SUM(E558:E570)</f>
        <v>1</v>
      </c>
      <c r="I558" s="32">
        <f>+SUM(G558:G570)</f>
        <v>50128.200599999756</v>
      </c>
      <c r="J558" s="22" t="b">
        <f>+I558=F558</f>
        <v>0</v>
      </c>
    </row>
    <row r="559" spans="1:10" x14ac:dyDescent="0.25">
      <c r="A559" s="3" t="s">
        <v>29</v>
      </c>
      <c r="B559" s="3" t="s">
        <v>12</v>
      </c>
      <c r="C559" t="s">
        <v>162</v>
      </c>
      <c r="D559" s="4">
        <v>300</v>
      </c>
      <c r="E559" s="7">
        <f t="shared" ref="E559:E570" si="67">+D559/SUM($D$558:$D$570)</f>
        <v>0.15189873417721519</v>
      </c>
      <c r="F559">
        <v>50128.200599999749</v>
      </c>
      <c r="G559">
        <f t="shared" si="64"/>
        <v>7614.4102177214809</v>
      </c>
    </row>
    <row r="560" spans="1:10" x14ac:dyDescent="0.25">
      <c r="A560" s="3" t="s">
        <v>29</v>
      </c>
      <c r="B560" s="3" t="s">
        <v>12</v>
      </c>
      <c r="C560" t="s">
        <v>163</v>
      </c>
      <c r="D560" s="4">
        <v>150</v>
      </c>
      <c r="E560" s="7">
        <f t="shared" si="67"/>
        <v>7.5949367088607597E-2</v>
      </c>
      <c r="F560">
        <v>50128.200599999749</v>
      </c>
      <c r="G560">
        <f t="shared" si="64"/>
        <v>3807.2051088607404</v>
      </c>
    </row>
    <row r="561" spans="1:10" x14ac:dyDescent="0.25">
      <c r="A561" s="3" t="s">
        <v>29</v>
      </c>
      <c r="B561" s="3" t="s">
        <v>12</v>
      </c>
      <c r="C561" t="s">
        <v>164</v>
      </c>
      <c r="D561" s="4">
        <v>165</v>
      </c>
      <c r="E561" s="7">
        <f t="shared" si="67"/>
        <v>8.3544303797468356E-2</v>
      </c>
      <c r="F561">
        <v>50128.200599999749</v>
      </c>
      <c r="G561">
        <f t="shared" si="64"/>
        <v>4187.9256197468148</v>
      </c>
    </row>
    <row r="562" spans="1:10" x14ac:dyDescent="0.25">
      <c r="A562" s="3" t="s">
        <v>29</v>
      </c>
      <c r="B562" s="3" t="s">
        <v>12</v>
      </c>
      <c r="C562" t="s">
        <v>165</v>
      </c>
      <c r="D562" s="4">
        <v>118</v>
      </c>
      <c r="E562" s="7">
        <f t="shared" si="67"/>
        <v>5.9746835443037973E-2</v>
      </c>
      <c r="F562">
        <v>50128.200599999749</v>
      </c>
      <c r="G562">
        <f t="shared" si="64"/>
        <v>2995.0013523037824</v>
      </c>
    </row>
    <row r="563" spans="1:10" x14ac:dyDescent="0.25">
      <c r="A563" s="3" t="s">
        <v>29</v>
      </c>
      <c r="B563" s="3" t="s">
        <v>12</v>
      </c>
      <c r="C563" t="s">
        <v>166</v>
      </c>
      <c r="D563" s="4">
        <v>60</v>
      </c>
      <c r="E563" s="7">
        <f t="shared" si="67"/>
        <v>3.0379746835443037E-2</v>
      </c>
      <c r="F563">
        <v>50128.200599999749</v>
      </c>
      <c r="G563">
        <f t="shared" si="64"/>
        <v>1522.882043544296</v>
      </c>
    </row>
    <row r="564" spans="1:10" x14ac:dyDescent="0.25">
      <c r="A564" s="3" t="s">
        <v>29</v>
      </c>
      <c r="B564" s="3" t="s">
        <v>12</v>
      </c>
      <c r="C564" t="s">
        <v>167</v>
      </c>
      <c r="D564" s="4">
        <v>150</v>
      </c>
      <c r="E564" s="7">
        <f t="shared" si="67"/>
        <v>7.5949367088607597E-2</v>
      </c>
      <c r="F564">
        <v>50128.200599999749</v>
      </c>
      <c r="G564">
        <f t="shared" si="64"/>
        <v>3807.2051088607404</v>
      </c>
    </row>
    <row r="565" spans="1:10" x14ac:dyDescent="0.25">
      <c r="A565" s="3" t="s">
        <v>29</v>
      </c>
      <c r="B565" s="3" t="s">
        <v>12</v>
      </c>
      <c r="C565" t="s">
        <v>168</v>
      </c>
      <c r="D565" s="4">
        <v>359</v>
      </c>
      <c r="E565" s="7">
        <f t="shared" si="67"/>
        <v>0.18177215189873416</v>
      </c>
      <c r="F565">
        <v>50128.200599999749</v>
      </c>
      <c r="G565">
        <f t="shared" si="64"/>
        <v>9111.9108938733716</v>
      </c>
    </row>
    <row r="566" spans="1:10" x14ac:dyDescent="0.25">
      <c r="A566" s="3" t="s">
        <v>29</v>
      </c>
      <c r="B566" s="3" t="s">
        <v>12</v>
      </c>
      <c r="C566" t="s">
        <v>169</v>
      </c>
      <c r="D566" s="4">
        <v>120</v>
      </c>
      <c r="E566" s="7">
        <f t="shared" si="67"/>
        <v>6.0759493670886074E-2</v>
      </c>
      <c r="F566">
        <v>50128.200599999749</v>
      </c>
      <c r="G566">
        <f t="shared" si="64"/>
        <v>3045.7640870885921</v>
      </c>
    </row>
    <row r="567" spans="1:10" x14ac:dyDescent="0.25">
      <c r="A567" s="3" t="s">
        <v>29</v>
      </c>
      <c r="B567" s="3" t="s">
        <v>12</v>
      </c>
      <c r="C567" t="s">
        <v>170</v>
      </c>
      <c r="D567" s="4">
        <v>60</v>
      </c>
      <c r="E567" s="7">
        <f t="shared" si="67"/>
        <v>3.0379746835443037E-2</v>
      </c>
      <c r="F567">
        <v>50128.200599999749</v>
      </c>
      <c r="G567">
        <f t="shared" si="64"/>
        <v>1522.882043544296</v>
      </c>
    </row>
    <row r="568" spans="1:10" x14ac:dyDescent="0.25">
      <c r="A568" s="3" t="s">
        <v>29</v>
      </c>
      <c r="B568" s="3" t="s">
        <v>12</v>
      </c>
      <c r="C568" t="s">
        <v>171</v>
      </c>
      <c r="D568" s="4">
        <v>90</v>
      </c>
      <c r="E568" s="7">
        <f t="shared" si="67"/>
        <v>4.5569620253164557E-2</v>
      </c>
      <c r="F568">
        <v>50128.200599999749</v>
      </c>
      <c r="G568">
        <f t="shared" si="64"/>
        <v>2284.3230653164442</v>
      </c>
    </row>
    <row r="569" spans="1:10" x14ac:dyDescent="0.25">
      <c r="A569" s="3" t="s">
        <v>29</v>
      </c>
      <c r="B569" s="3" t="s">
        <v>12</v>
      </c>
      <c r="C569" t="s">
        <v>172</v>
      </c>
      <c r="D569" s="4">
        <v>165</v>
      </c>
      <c r="E569" s="7">
        <f t="shared" si="67"/>
        <v>8.3544303797468356E-2</v>
      </c>
      <c r="F569">
        <v>50128.200599999749</v>
      </c>
      <c r="G569">
        <f t="shared" si="64"/>
        <v>4187.9256197468148</v>
      </c>
    </row>
    <row r="570" spans="1:10" x14ac:dyDescent="0.25">
      <c r="A570" s="3" t="s">
        <v>29</v>
      </c>
      <c r="B570" s="3" t="s">
        <v>12</v>
      </c>
      <c r="C570" t="s">
        <v>173</v>
      </c>
      <c r="D570" s="4">
        <v>60</v>
      </c>
      <c r="E570" s="7">
        <f t="shared" si="67"/>
        <v>3.0379746835443037E-2</v>
      </c>
      <c r="F570">
        <v>50128.200599999749</v>
      </c>
      <c r="G570">
        <f t="shared" si="64"/>
        <v>1522.882043544296</v>
      </c>
    </row>
    <row r="571" spans="1:10" s="22" customFormat="1" x14ac:dyDescent="0.25">
      <c r="A571" s="21" t="s">
        <v>29</v>
      </c>
      <c r="B571" s="21" t="s">
        <v>13</v>
      </c>
      <c r="C571" s="22" t="s">
        <v>174</v>
      </c>
      <c r="D571" s="23">
        <v>120</v>
      </c>
      <c r="E571" s="24">
        <f>+D571/SUM($D$571:$D$592)</f>
        <v>2.229240200631618E-2</v>
      </c>
      <c r="F571" s="31">
        <v>257368.36060000048</v>
      </c>
      <c r="G571" s="22">
        <f t="shared" si="64"/>
        <v>5737.3589582017566</v>
      </c>
      <c r="H571" s="25">
        <f>+SUM(E571:E592)</f>
        <v>1.0000000000000002</v>
      </c>
      <c r="I571" s="31">
        <f>+SUM(G571:G592)</f>
        <v>257368.36060000051</v>
      </c>
      <c r="J571" s="22" t="b">
        <f>+I571=F571</f>
        <v>0</v>
      </c>
    </row>
    <row r="572" spans="1:10" x14ac:dyDescent="0.25">
      <c r="A572" s="3" t="s">
        <v>29</v>
      </c>
      <c r="B572" s="3" t="s">
        <v>13</v>
      </c>
      <c r="C572" t="s">
        <v>1</v>
      </c>
      <c r="D572" s="4">
        <v>210</v>
      </c>
      <c r="E572" s="7">
        <f t="shared" ref="E572:E592" si="68">+D572/SUM($D$571:$D$592)</f>
        <v>3.9011703511053319E-2</v>
      </c>
      <c r="F572">
        <v>257368.36060000048</v>
      </c>
      <c r="G572">
        <f t="shared" si="64"/>
        <v>10040.378176853075</v>
      </c>
    </row>
    <row r="573" spans="1:10" x14ac:dyDescent="0.25">
      <c r="A573" s="3" t="s">
        <v>29</v>
      </c>
      <c r="B573" s="3" t="s">
        <v>13</v>
      </c>
      <c r="C573" t="s">
        <v>175</v>
      </c>
      <c r="D573" s="4">
        <v>509</v>
      </c>
      <c r="E573" s="7">
        <f t="shared" si="68"/>
        <v>9.4556938510124464E-2</v>
      </c>
      <c r="F573">
        <v>257368.36060000048</v>
      </c>
      <c r="G573">
        <f t="shared" si="64"/>
        <v>24335.964247705786</v>
      </c>
    </row>
    <row r="574" spans="1:10" x14ac:dyDescent="0.25">
      <c r="A574" s="3" t="s">
        <v>29</v>
      </c>
      <c r="B574" s="3" t="s">
        <v>13</v>
      </c>
      <c r="C574" t="s">
        <v>176</v>
      </c>
      <c r="D574" s="4">
        <v>298</v>
      </c>
      <c r="E574" s="7">
        <f t="shared" si="68"/>
        <v>5.535946498235185E-2</v>
      </c>
      <c r="F574">
        <v>257368.36060000048</v>
      </c>
      <c r="G574">
        <f t="shared" si="64"/>
        <v>14247.77474620103</v>
      </c>
    </row>
    <row r="575" spans="1:10" x14ac:dyDescent="0.25">
      <c r="A575" s="3" t="s">
        <v>29</v>
      </c>
      <c r="B575" s="3" t="s">
        <v>13</v>
      </c>
      <c r="C575" t="s">
        <v>177</v>
      </c>
      <c r="D575" s="4">
        <v>148</v>
      </c>
      <c r="E575" s="7">
        <f t="shared" si="68"/>
        <v>2.7493962474456624E-2</v>
      </c>
      <c r="F575">
        <v>257368.36060000048</v>
      </c>
      <c r="G575">
        <f t="shared" si="64"/>
        <v>7076.0760484488337</v>
      </c>
    </row>
    <row r="576" spans="1:10" x14ac:dyDescent="0.25">
      <c r="A576" s="3" t="s">
        <v>29</v>
      </c>
      <c r="B576" s="3" t="s">
        <v>13</v>
      </c>
      <c r="C576" t="s">
        <v>178</v>
      </c>
      <c r="D576" s="4">
        <v>90</v>
      </c>
      <c r="E576" s="7">
        <f t="shared" si="68"/>
        <v>1.6719301504737136E-2</v>
      </c>
      <c r="F576">
        <v>257368.36060000048</v>
      </c>
      <c r="G576">
        <f t="shared" si="64"/>
        <v>4303.0192186513177</v>
      </c>
    </row>
    <row r="577" spans="1:7" x14ac:dyDescent="0.25">
      <c r="A577" s="3" t="s">
        <v>29</v>
      </c>
      <c r="B577" s="3" t="s">
        <v>13</v>
      </c>
      <c r="C577" t="s">
        <v>179</v>
      </c>
      <c r="D577" s="4">
        <v>114</v>
      </c>
      <c r="E577" s="7">
        <f t="shared" si="68"/>
        <v>2.1177781906000372E-2</v>
      </c>
      <c r="F577">
        <v>257368.36060000048</v>
      </c>
      <c r="G577">
        <f t="shared" si="64"/>
        <v>5450.4910102916692</v>
      </c>
    </row>
    <row r="578" spans="1:7" x14ac:dyDescent="0.25">
      <c r="A578" s="3" t="s">
        <v>29</v>
      </c>
      <c r="B578" s="3" t="s">
        <v>13</v>
      </c>
      <c r="C578" t="s">
        <v>180</v>
      </c>
      <c r="D578" s="4">
        <v>181</v>
      </c>
      <c r="E578" s="7">
        <f t="shared" si="68"/>
        <v>3.3624373026193574E-2</v>
      </c>
      <c r="F578">
        <v>257368.36060000048</v>
      </c>
      <c r="G578">
        <f t="shared" si="64"/>
        <v>8653.8497619543177</v>
      </c>
    </row>
    <row r="579" spans="1:7" x14ac:dyDescent="0.25">
      <c r="A579" s="3" t="s">
        <v>29</v>
      </c>
      <c r="B579" s="3" t="s">
        <v>13</v>
      </c>
      <c r="C579" t="s">
        <v>181</v>
      </c>
      <c r="D579" s="4">
        <v>90</v>
      </c>
      <c r="E579" s="7">
        <f t="shared" si="68"/>
        <v>1.6719301504737136E-2</v>
      </c>
      <c r="F579">
        <v>257368.36060000048</v>
      </c>
      <c r="G579">
        <f t="shared" si="64"/>
        <v>4303.0192186513177</v>
      </c>
    </row>
    <row r="580" spans="1:7" x14ac:dyDescent="0.25">
      <c r="A580" s="3" t="s">
        <v>29</v>
      </c>
      <c r="B580" s="3" t="s">
        <v>13</v>
      </c>
      <c r="C580" t="s">
        <v>182</v>
      </c>
      <c r="D580" s="4">
        <v>420</v>
      </c>
      <c r="E580" s="7">
        <f t="shared" si="68"/>
        <v>7.8023407022106639E-2</v>
      </c>
      <c r="F580">
        <v>257368.36060000048</v>
      </c>
      <c r="G580">
        <f t="shared" si="64"/>
        <v>20080.756353706151</v>
      </c>
    </row>
    <row r="581" spans="1:7" x14ac:dyDescent="0.25">
      <c r="A581" s="3" t="s">
        <v>29</v>
      </c>
      <c r="B581" s="3" t="s">
        <v>13</v>
      </c>
      <c r="C581" t="s">
        <v>183</v>
      </c>
      <c r="D581" s="4">
        <v>210</v>
      </c>
      <c r="E581" s="7">
        <f t="shared" si="68"/>
        <v>3.9011703511053319E-2</v>
      </c>
      <c r="F581">
        <v>257368.36060000048</v>
      </c>
      <c r="G581">
        <f t="shared" si="64"/>
        <v>10040.378176853075</v>
      </c>
    </row>
    <row r="582" spans="1:7" x14ac:dyDescent="0.25">
      <c r="A582" s="3" t="s">
        <v>29</v>
      </c>
      <c r="B582" s="3" t="s">
        <v>13</v>
      </c>
      <c r="C582" t="s">
        <v>153</v>
      </c>
      <c r="D582" s="4">
        <v>120</v>
      </c>
      <c r="E582" s="7">
        <f t="shared" si="68"/>
        <v>2.229240200631618E-2</v>
      </c>
      <c r="F582">
        <v>257368.36060000048</v>
      </c>
      <c r="G582">
        <f t="shared" si="64"/>
        <v>5737.3589582017566</v>
      </c>
    </row>
    <row r="583" spans="1:7" x14ac:dyDescent="0.25">
      <c r="A583" s="3" t="s">
        <v>29</v>
      </c>
      <c r="B583" s="3" t="s">
        <v>13</v>
      </c>
      <c r="C583" t="s">
        <v>184</v>
      </c>
      <c r="D583" s="4">
        <v>150</v>
      </c>
      <c r="E583" s="7">
        <f t="shared" si="68"/>
        <v>2.7865502507895226E-2</v>
      </c>
      <c r="F583">
        <v>257368.36060000048</v>
      </c>
      <c r="G583">
        <f t="shared" si="64"/>
        <v>7171.6986977521965</v>
      </c>
    </row>
    <row r="584" spans="1:7" x14ac:dyDescent="0.25">
      <c r="A584" s="3" t="s">
        <v>29</v>
      </c>
      <c r="B584" s="3" t="s">
        <v>13</v>
      </c>
      <c r="C584" t="s">
        <v>185</v>
      </c>
      <c r="D584" s="4">
        <v>474</v>
      </c>
      <c r="E584" s="7">
        <f t="shared" si="68"/>
        <v>8.805498792494891E-2</v>
      </c>
      <c r="F584">
        <v>257368.36060000048</v>
      </c>
      <c r="G584">
        <f t="shared" si="64"/>
        <v>22662.56788489694</v>
      </c>
    </row>
    <row r="585" spans="1:7" x14ac:dyDescent="0.25">
      <c r="A585" s="3" t="s">
        <v>29</v>
      </c>
      <c r="B585" s="3" t="s">
        <v>13</v>
      </c>
      <c r="C585" t="s">
        <v>18</v>
      </c>
      <c r="D585" s="4">
        <v>210</v>
      </c>
      <c r="E585" s="7">
        <f t="shared" si="68"/>
        <v>3.9011703511053319E-2</v>
      </c>
      <c r="F585">
        <v>257368.36060000048</v>
      </c>
      <c r="G585">
        <f t="shared" si="64"/>
        <v>10040.378176853075</v>
      </c>
    </row>
    <row r="586" spans="1:7" x14ac:dyDescent="0.25">
      <c r="A586" s="3" t="s">
        <v>29</v>
      </c>
      <c r="B586" s="3" t="s">
        <v>13</v>
      </c>
      <c r="C586" t="s">
        <v>186</v>
      </c>
      <c r="D586" s="4">
        <v>839</v>
      </c>
      <c r="E586" s="7">
        <f t="shared" si="68"/>
        <v>0.15586104402749396</v>
      </c>
      <c r="F586">
        <v>257368.36060000048</v>
      </c>
      <c r="G586">
        <f t="shared" si="64"/>
        <v>40113.701382760613</v>
      </c>
    </row>
    <row r="587" spans="1:7" x14ac:dyDescent="0.25">
      <c r="A587" s="3" t="s">
        <v>29</v>
      </c>
      <c r="B587" s="3" t="s">
        <v>13</v>
      </c>
      <c r="C587" t="s">
        <v>187</v>
      </c>
      <c r="D587" s="4">
        <v>60</v>
      </c>
      <c r="E587" s="7">
        <f t="shared" si="68"/>
        <v>1.114620100315809E-2</v>
      </c>
      <c r="F587">
        <v>257368.36060000048</v>
      </c>
      <c r="G587">
        <f t="shared" si="64"/>
        <v>2868.6794791008783</v>
      </c>
    </row>
    <row r="588" spans="1:7" x14ac:dyDescent="0.25">
      <c r="A588" s="3" t="s">
        <v>29</v>
      </c>
      <c r="B588" s="3" t="s">
        <v>13</v>
      </c>
      <c r="C588" t="s">
        <v>188</v>
      </c>
      <c r="D588" s="4">
        <v>151</v>
      </c>
      <c r="E588" s="7">
        <f t="shared" si="68"/>
        <v>2.8051272524614528E-2</v>
      </c>
      <c r="F588">
        <v>257368.36060000048</v>
      </c>
      <c r="G588">
        <f t="shared" si="64"/>
        <v>7219.5100224038779</v>
      </c>
    </row>
    <row r="589" spans="1:7" x14ac:dyDescent="0.25">
      <c r="A589" s="3" t="s">
        <v>29</v>
      </c>
      <c r="B589" s="3" t="s">
        <v>13</v>
      </c>
      <c r="C589" t="s">
        <v>189</v>
      </c>
      <c r="D589" s="4">
        <v>120</v>
      </c>
      <c r="E589" s="7">
        <f t="shared" si="68"/>
        <v>2.229240200631618E-2</v>
      </c>
      <c r="F589">
        <v>257368.36060000048</v>
      </c>
      <c r="G589">
        <f t="shared" si="64"/>
        <v>5737.3589582017566</v>
      </c>
    </row>
    <row r="590" spans="1:7" x14ac:dyDescent="0.25">
      <c r="A590" s="3" t="s">
        <v>29</v>
      </c>
      <c r="B590" s="3" t="s">
        <v>13</v>
      </c>
      <c r="C590" t="s">
        <v>190</v>
      </c>
      <c r="D590" s="4">
        <v>329</v>
      </c>
      <c r="E590" s="7">
        <f t="shared" si="68"/>
        <v>6.1118335500650198E-2</v>
      </c>
      <c r="F590">
        <v>257368.36060000048</v>
      </c>
      <c r="G590">
        <f t="shared" si="64"/>
        <v>15729.925810403151</v>
      </c>
    </row>
    <row r="591" spans="1:7" x14ac:dyDescent="0.25">
      <c r="A591" s="3" t="s">
        <v>29</v>
      </c>
      <c r="B591" s="3" t="s">
        <v>13</v>
      </c>
      <c r="C591" t="s">
        <v>191</v>
      </c>
      <c r="D591" s="4">
        <v>390</v>
      </c>
      <c r="E591" s="7">
        <f t="shared" si="68"/>
        <v>7.2450306520527585E-2</v>
      </c>
      <c r="F591">
        <v>257368.36060000048</v>
      </c>
      <c r="G591">
        <f t="shared" si="64"/>
        <v>18646.416614155711</v>
      </c>
    </row>
    <row r="592" spans="1:7" x14ac:dyDescent="0.25">
      <c r="A592" s="3" t="s">
        <v>29</v>
      </c>
      <c r="B592" s="3" t="s">
        <v>13</v>
      </c>
      <c r="C592" t="s">
        <v>192</v>
      </c>
      <c r="D592" s="4">
        <v>150</v>
      </c>
      <c r="E592" s="7">
        <f t="shared" si="68"/>
        <v>2.7865502507895226E-2</v>
      </c>
      <c r="F592">
        <v>257368.36060000048</v>
      </c>
      <c r="G592">
        <f t="shared" si="64"/>
        <v>7171.6986977521965</v>
      </c>
    </row>
    <row r="593" spans="1:10" s="22" customFormat="1" x14ac:dyDescent="0.25">
      <c r="A593" s="21" t="s">
        <v>29</v>
      </c>
      <c r="B593" s="21" t="s">
        <v>14</v>
      </c>
      <c r="C593" s="22" t="s">
        <v>193</v>
      </c>
      <c r="D593" s="23">
        <v>61</v>
      </c>
      <c r="E593" s="24">
        <f>+D593/SUM($D$593:$D$601)</f>
        <v>0.1367713004484305</v>
      </c>
      <c r="F593" s="22">
        <v>3448.8500000000058</v>
      </c>
      <c r="G593" s="22">
        <f t="shared" ref="G593:G656" si="69">+E593*F593</f>
        <v>471.70369955157031</v>
      </c>
      <c r="H593" s="25">
        <f>+SUM(E593:E601)</f>
        <v>0.99999999999999989</v>
      </c>
      <c r="I593" s="22">
        <f>+SUM(G593:G601)</f>
        <v>3448.8500000000058</v>
      </c>
      <c r="J593" s="22" t="b">
        <f>+I593=F593</f>
        <v>1</v>
      </c>
    </row>
    <row r="594" spans="1:10" x14ac:dyDescent="0.25">
      <c r="A594" s="3" t="s">
        <v>29</v>
      </c>
      <c r="B594" s="3" t="s">
        <v>14</v>
      </c>
      <c r="C594" t="s">
        <v>194</v>
      </c>
      <c r="D594" s="4">
        <v>30</v>
      </c>
      <c r="E594" s="7">
        <f t="shared" ref="E594:E601" si="70">+D594/SUM($D$593:$D$601)</f>
        <v>6.726457399103139E-2</v>
      </c>
      <c r="F594">
        <v>3448.8500000000058</v>
      </c>
      <c r="G594">
        <f t="shared" si="69"/>
        <v>231.985426008969</v>
      </c>
    </row>
    <row r="595" spans="1:10" x14ac:dyDescent="0.25">
      <c r="A595" s="3" t="s">
        <v>29</v>
      </c>
      <c r="B595" s="3" t="s">
        <v>14</v>
      </c>
      <c r="C595" t="s">
        <v>195</v>
      </c>
      <c r="D595" s="4">
        <v>58</v>
      </c>
      <c r="E595" s="7">
        <f t="shared" si="70"/>
        <v>0.13004484304932734</v>
      </c>
      <c r="F595">
        <v>3448.8500000000058</v>
      </c>
      <c r="G595">
        <f t="shared" si="69"/>
        <v>448.50515695067338</v>
      </c>
    </row>
    <row r="596" spans="1:10" x14ac:dyDescent="0.25">
      <c r="A596" s="3" t="s">
        <v>29</v>
      </c>
      <c r="B596" s="3" t="s">
        <v>14</v>
      </c>
      <c r="C596" t="s">
        <v>196</v>
      </c>
      <c r="D596" s="4">
        <v>30</v>
      </c>
      <c r="E596" s="7">
        <f t="shared" si="70"/>
        <v>6.726457399103139E-2</v>
      </c>
      <c r="F596">
        <v>3448.8500000000058</v>
      </c>
      <c r="G596">
        <f t="shared" si="69"/>
        <v>231.985426008969</v>
      </c>
    </row>
    <row r="597" spans="1:10" x14ac:dyDescent="0.25">
      <c r="A597" s="3" t="s">
        <v>29</v>
      </c>
      <c r="B597" s="3" t="s">
        <v>14</v>
      </c>
      <c r="C597" t="s">
        <v>197</v>
      </c>
      <c r="D597" s="4">
        <v>30</v>
      </c>
      <c r="E597" s="7">
        <f t="shared" si="70"/>
        <v>6.726457399103139E-2</v>
      </c>
      <c r="F597">
        <v>3448.8500000000058</v>
      </c>
      <c r="G597">
        <f t="shared" si="69"/>
        <v>231.985426008969</v>
      </c>
    </row>
    <row r="598" spans="1:10" x14ac:dyDescent="0.25">
      <c r="A598" s="3" t="s">
        <v>29</v>
      </c>
      <c r="B598" s="3" t="s">
        <v>14</v>
      </c>
      <c r="C598" t="s">
        <v>198</v>
      </c>
      <c r="D598" s="4">
        <v>30</v>
      </c>
      <c r="E598" s="7">
        <f t="shared" si="70"/>
        <v>6.726457399103139E-2</v>
      </c>
      <c r="F598">
        <v>3448.8500000000058</v>
      </c>
      <c r="G598">
        <f t="shared" si="69"/>
        <v>231.985426008969</v>
      </c>
    </row>
    <row r="599" spans="1:10" x14ac:dyDescent="0.25">
      <c r="A599" s="3" t="s">
        <v>29</v>
      </c>
      <c r="B599" s="3" t="s">
        <v>14</v>
      </c>
      <c r="C599" t="s">
        <v>199</v>
      </c>
      <c r="D599" s="4">
        <v>58</v>
      </c>
      <c r="E599" s="7">
        <f t="shared" si="70"/>
        <v>0.13004484304932734</v>
      </c>
      <c r="F599">
        <v>3448.8500000000058</v>
      </c>
      <c r="G599">
        <f t="shared" si="69"/>
        <v>448.50515695067338</v>
      </c>
    </row>
    <row r="600" spans="1:10" x14ac:dyDescent="0.25">
      <c r="A600" s="3" t="s">
        <v>29</v>
      </c>
      <c r="B600" s="3" t="s">
        <v>14</v>
      </c>
      <c r="C600" t="s">
        <v>200</v>
      </c>
      <c r="D600" s="4">
        <v>59</v>
      </c>
      <c r="E600" s="7">
        <f t="shared" si="70"/>
        <v>0.13228699551569506</v>
      </c>
      <c r="F600">
        <v>3448.8500000000058</v>
      </c>
      <c r="G600">
        <f t="shared" si="69"/>
        <v>456.23800448430569</v>
      </c>
    </row>
    <row r="601" spans="1:10" x14ac:dyDescent="0.25">
      <c r="A601" s="3" t="s">
        <v>29</v>
      </c>
      <c r="B601" s="3" t="s">
        <v>14</v>
      </c>
      <c r="C601" t="s">
        <v>201</v>
      </c>
      <c r="D601" s="4">
        <v>90</v>
      </c>
      <c r="E601" s="7">
        <f t="shared" si="70"/>
        <v>0.20179372197309417</v>
      </c>
      <c r="F601">
        <v>3448.8500000000058</v>
      </c>
      <c r="G601">
        <f t="shared" si="69"/>
        <v>695.95627802690706</v>
      </c>
    </row>
    <row r="602" spans="1:10" s="22" customFormat="1" x14ac:dyDescent="0.25">
      <c r="A602" s="21" t="s">
        <v>29</v>
      </c>
      <c r="B602" s="21" t="s">
        <v>15</v>
      </c>
      <c r="C602" s="22" t="s">
        <v>204</v>
      </c>
      <c r="D602" s="23">
        <v>120</v>
      </c>
      <c r="E602" s="24">
        <f>+D602/SUM($D$602:$D$606)</f>
        <v>0.267260579064588</v>
      </c>
      <c r="F602" s="22">
        <v>4974.2504999999946</v>
      </c>
      <c r="G602" s="22">
        <f t="shared" si="69"/>
        <v>1329.4210690423149</v>
      </c>
      <c r="H602" s="25">
        <f>+SUM(E602:E606)</f>
        <v>1</v>
      </c>
      <c r="I602" s="22">
        <f>+SUM(G602:G606)</f>
        <v>4974.2504999999946</v>
      </c>
      <c r="J602" s="22" t="b">
        <f>+I602=F602</f>
        <v>1</v>
      </c>
    </row>
    <row r="603" spans="1:10" x14ac:dyDescent="0.25">
      <c r="A603" s="3" t="s">
        <v>29</v>
      </c>
      <c r="B603" s="3" t="s">
        <v>15</v>
      </c>
      <c r="C603" t="s">
        <v>205</v>
      </c>
      <c r="D603" s="4">
        <v>59</v>
      </c>
      <c r="E603" s="7">
        <f t="shared" ref="E603:E606" si="71">+D603/SUM($D$602:$D$606)</f>
        <v>0.13140311804008908</v>
      </c>
      <c r="F603">
        <v>4974.2504999999946</v>
      </c>
      <c r="G603">
        <f t="shared" si="69"/>
        <v>653.63202561247147</v>
      </c>
    </row>
    <row r="604" spans="1:10" x14ac:dyDescent="0.25">
      <c r="A604" s="3" t="s">
        <v>29</v>
      </c>
      <c r="B604" s="3" t="s">
        <v>15</v>
      </c>
      <c r="C604" t="s">
        <v>206</v>
      </c>
      <c r="D604" s="4">
        <v>60</v>
      </c>
      <c r="E604" s="7">
        <f t="shared" si="71"/>
        <v>0.133630289532294</v>
      </c>
      <c r="F604">
        <v>4974.2504999999946</v>
      </c>
      <c r="G604">
        <f t="shared" si="69"/>
        <v>664.71053452115746</v>
      </c>
    </row>
    <row r="605" spans="1:10" x14ac:dyDescent="0.25">
      <c r="A605" s="3" t="s">
        <v>29</v>
      </c>
      <c r="B605" s="3" t="s">
        <v>15</v>
      </c>
      <c r="C605" t="s">
        <v>207</v>
      </c>
      <c r="D605" s="4">
        <v>30</v>
      </c>
      <c r="E605" s="7">
        <f t="shared" si="71"/>
        <v>6.6815144766147E-2</v>
      </c>
      <c r="F605">
        <v>4974.2504999999946</v>
      </c>
      <c r="G605">
        <f t="shared" si="69"/>
        <v>332.35526726057873</v>
      </c>
    </row>
    <row r="606" spans="1:10" x14ac:dyDescent="0.25">
      <c r="A606" s="3" t="s">
        <v>29</v>
      </c>
      <c r="B606" s="3" t="s">
        <v>15</v>
      </c>
      <c r="C606" t="s">
        <v>208</v>
      </c>
      <c r="D606" s="4">
        <v>180</v>
      </c>
      <c r="E606" s="7">
        <f t="shared" si="71"/>
        <v>0.40089086859688194</v>
      </c>
      <c r="F606">
        <v>4974.2504999999946</v>
      </c>
      <c r="G606">
        <f t="shared" si="69"/>
        <v>1994.1316035634723</v>
      </c>
    </row>
    <row r="607" spans="1:10" s="22" customFormat="1" x14ac:dyDescent="0.25">
      <c r="A607" s="21" t="s">
        <v>29</v>
      </c>
      <c r="B607" s="21" t="s">
        <v>16</v>
      </c>
      <c r="C607" s="22" t="s">
        <v>210</v>
      </c>
      <c r="D607" s="23">
        <v>128</v>
      </c>
      <c r="E607" s="24">
        <f>+D607/SUM($D$607:$D$609)</f>
        <v>0.19364599092284418</v>
      </c>
      <c r="F607" s="22">
        <v>6122.7602000000188</v>
      </c>
      <c r="G607" s="22">
        <f t="shared" si="69"/>
        <v>1185.6479661119552</v>
      </c>
      <c r="H607" s="25">
        <f>+SUM(E607:E609)</f>
        <v>1</v>
      </c>
      <c r="I607" s="22">
        <f>+SUM(G607:G609)</f>
        <v>6122.7602000000188</v>
      </c>
      <c r="J607" s="22" t="b">
        <f>+I607=F607</f>
        <v>1</v>
      </c>
    </row>
    <row r="608" spans="1:10" x14ac:dyDescent="0.25">
      <c r="A608" s="3" t="s">
        <v>29</v>
      </c>
      <c r="B608" s="3" t="s">
        <v>16</v>
      </c>
      <c r="C608" t="s">
        <v>211</v>
      </c>
      <c r="D608" s="4">
        <v>237</v>
      </c>
      <c r="E608" s="7">
        <f t="shared" ref="E608:E609" si="72">+D608/SUM($D$607:$D$609)</f>
        <v>0.35854765506807867</v>
      </c>
      <c r="F608">
        <v>6122.7602000000188</v>
      </c>
      <c r="G608">
        <f t="shared" si="69"/>
        <v>2195.301312254167</v>
      </c>
    </row>
    <row r="609" spans="1:10" x14ac:dyDescent="0.25">
      <c r="A609" s="3" t="s">
        <v>29</v>
      </c>
      <c r="B609" s="3" t="s">
        <v>16</v>
      </c>
      <c r="C609" t="s">
        <v>16</v>
      </c>
      <c r="D609" s="4">
        <v>296</v>
      </c>
      <c r="E609" s="7">
        <f t="shared" si="72"/>
        <v>0.44780635400907715</v>
      </c>
      <c r="F609">
        <v>6122.7602000000188</v>
      </c>
      <c r="G609">
        <f t="shared" si="69"/>
        <v>2741.8109216338962</v>
      </c>
    </row>
    <row r="610" spans="1:10" s="22" customFormat="1" x14ac:dyDescent="0.25">
      <c r="A610" s="21" t="s">
        <v>29</v>
      </c>
      <c r="B610" s="21" t="s">
        <v>17</v>
      </c>
      <c r="C610" s="22" t="s">
        <v>213</v>
      </c>
      <c r="D610" s="23">
        <v>30</v>
      </c>
      <c r="E610" s="24">
        <f>+D610/SUM($D$610:$D$612)</f>
        <v>6.6666666666666666E-2</v>
      </c>
      <c r="F610" s="22">
        <v>10940.1103</v>
      </c>
      <c r="G610" s="22">
        <f t="shared" si="69"/>
        <v>729.34068666666667</v>
      </c>
      <c r="H610" s="25">
        <f>+SUM(E610:E612)</f>
        <v>1</v>
      </c>
      <c r="I610" s="22">
        <f>+SUM(G610:G612)</f>
        <v>10940.1103</v>
      </c>
      <c r="J610" s="22" t="b">
        <f>+I610=F610</f>
        <v>1</v>
      </c>
    </row>
    <row r="611" spans="1:10" x14ac:dyDescent="0.25">
      <c r="A611" s="3" t="s">
        <v>29</v>
      </c>
      <c r="B611" s="3" t="s">
        <v>17</v>
      </c>
      <c r="C611" t="s">
        <v>17</v>
      </c>
      <c r="D611" s="4">
        <v>360</v>
      </c>
      <c r="E611" s="7">
        <f t="shared" ref="E611:E612" si="73">+D611/SUM($D$610:$D$612)</f>
        <v>0.8</v>
      </c>
      <c r="F611">
        <v>10940.1103</v>
      </c>
      <c r="G611">
        <f t="shared" si="69"/>
        <v>8752.088240000001</v>
      </c>
    </row>
    <row r="612" spans="1:10" x14ac:dyDescent="0.25">
      <c r="A612" s="3" t="s">
        <v>29</v>
      </c>
      <c r="B612" s="3" t="s">
        <v>17</v>
      </c>
      <c r="C612" t="s">
        <v>214</v>
      </c>
      <c r="D612" s="4">
        <v>60</v>
      </c>
      <c r="E612" s="7">
        <f t="shared" si="73"/>
        <v>0.13333333333333333</v>
      </c>
      <c r="F612">
        <v>10940.1103</v>
      </c>
      <c r="G612">
        <f t="shared" si="69"/>
        <v>1458.6813733333333</v>
      </c>
    </row>
    <row r="613" spans="1:10" s="22" customFormat="1" x14ac:dyDescent="0.25">
      <c r="A613" s="21" t="s">
        <v>29</v>
      </c>
      <c r="B613" s="21" t="s">
        <v>18</v>
      </c>
      <c r="C613" s="22" t="s">
        <v>215</v>
      </c>
      <c r="D613" s="23">
        <v>270</v>
      </c>
      <c r="E613" s="24">
        <f>+D613/SUM($D$613:$D$618)</f>
        <v>0.1077414205905826</v>
      </c>
      <c r="F613" s="22">
        <v>166968.58070000028</v>
      </c>
      <c r="G613" s="22">
        <f t="shared" si="69"/>
        <v>17989.432078611364</v>
      </c>
      <c r="H613" s="25">
        <f>+SUM(E613:E618)</f>
        <v>0.99999999999999989</v>
      </c>
      <c r="I613" s="22">
        <f>+SUM(G613:G618)</f>
        <v>166968.58070000028</v>
      </c>
      <c r="J613" s="22" t="b">
        <f>+I613=F613</f>
        <v>1</v>
      </c>
    </row>
    <row r="614" spans="1:10" x14ac:dyDescent="0.25">
      <c r="A614" s="3" t="s">
        <v>29</v>
      </c>
      <c r="B614" s="3" t="s">
        <v>18</v>
      </c>
      <c r="C614" t="s">
        <v>216</v>
      </c>
      <c r="D614" s="4">
        <v>1696</v>
      </c>
      <c r="E614" s="7">
        <f t="shared" ref="E614:E618" si="74">+D614/SUM($D$613:$D$618)</f>
        <v>0.67677573822825221</v>
      </c>
      <c r="F614">
        <v>166968.58070000028</v>
      </c>
      <c r="G614">
        <f t="shared" si="69"/>
        <v>113000.28446416619</v>
      </c>
    </row>
    <row r="615" spans="1:10" x14ac:dyDescent="0.25">
      <c r="A615" s="3" t="s">
        <v>29</v>
      </c>
      <c r="B615" s="3" t="s">
        <v>18</v>
      </c>
      <c r="C615" t="s">
        <v>217</v>
      </c>
      <c r="D615" s="4">
        <v>90</v>
      </c>
      <c r="E615" s="7">
        <f t="shared" si="74"/>
        <v>3.5913806863527534E-2</v>
      </c>
      <c r="F615">
        <v>166968.58070000028</v>
      </c>
      <c r="G615">
        <f t="shared" si="69"/>
        <v>5996.4773595371207</v>
      </c>
    </row>
    <row r="616" spans="1:10" x14ac:dyDescent="0.25">
      <c r="A616" s="3" t="s">
        <v>29</v>
      </c>
      <c r="B616" s="3" t="s">
        <v>18</v>
      </c>
      <c r="C616" t="s">
        <v>218</v>
      </c>
      <c r="D616" s="4">
        <v>180</v>
      </c>
      <c r="E616" s="7">
        <f t="shared" si="74"/>
        <v>7.1827613727055067E-2</v>
      </c>
      <c r="F616">
        <v>166968.58070000028</v>
      </c>
      <c r="G616">
        <f t="shared" si="69"/>
        <v>11992.954719074241</v>
      </c>
    </row>
    <row r="617" spans="1:10" x14ac:dyDescent="0.25">
      <c r="A617" s="3" t="s">
        <v>29</v>
      </c>
      <c r="B617" s="3" t="s">
        <v>18</v>
      </c>
      <c r="C617" t="s">
        <v>219</v>
      </c>
      <c r="D617" s="4">
        <v>120</v>
      </c>
      <c r="E617" s="7">
        <f t="shared" si="74"/>
        <v>4.7885075818036714E-2</v>
      </c>
      <c r="F617">
        <v>166968.58070000028</v>
      </c>
      <c r="G617">
        <f t="shared" si="69"/>
        <v>7995.3031460494949</v>
      </c>
    </row>
    <row r="618" spans="1:10" x14ac:dyDescent="0.25">
      <c r="A618" s="3" t="s">
        <v>29</v>
      </c>
      <c r="B618" s="3" t="s">
        <v>18</v>
      </c>
      <c r="C618" t="s">
        <v>220</v>
      </c>
      <c r="D618" s="4">
        <v>150</v>
      </c>
      <c r="E618" s="7">
        <f t="shared" si="74"/>
        <v>5.9856344772545887E-2</v>
      </c>
      <c r="F618">
        <v>166968.58070000028</v>
      </c>
      <c r="G618">
        <f t="shared" si="69"/>
        <v>9994.1289325618673</v>
      </c>
    </row>
    <row r="619" spans="1:10" s="22" customFormat="1" x14ac:dyDescent="0.25">
      <c r="A619" s="21" t="s">
        <v>29</v>
      </c>
      <c r="B619" s="21" t="s">
        <v>19</v>
      </c>
      <c r="C619" s="22" t="s">
        <v>222</v>
      </c>
      <c r="D619" s="23">
        <v>210</v>
      </c>
      <c r="E619" s="24">
        <f>+D619/SUM($D$619:$D$621)</f>
        <v>0.19480519480519481</v>
      </c>
      <c r="F619" s="22">
        <v>2231.4095999999554</v>
      </c>
      <c r="G619" s="22">
        <f t="shared" si="69"/>
        <v>434.69018181817313</v>
      </c>
      <c r="H619" s="25">
        <f>+SUM(E619:E621)</f>
        <v>1</v>
      </c>
      <c r="I619" s="22">
        <f>+SUM(G619:G621)</f>
        <v>2231.4095999999554</v>
      </c>
      <c r="J619" s="22" t="b">
        <f>+I619=F619</f>
        <v>1</v>
      </c>
    </row>
    <row r="620" spans="1:10" x14ac:dyDescent="0.25">
      <c r="A620" s="3" t="s">
        <v>29</v>
      </c>
      <c r="B620" s="3" t="s">
        <v>19</v>
      </c>
      <c r="C620" t="s">
        <v>223</v>
      </c>
      <c r="D620" s="4">
        <v>210</v>
      </c>
      <c r="E620" s="7">
        <f t="shared" ref="E620:E621" si="75">+D620/SUM($D$619:$D$621)</f>
        <v>0.19480519480519481</v>
      </c>
      <c r="F620">
        <v>2231.4095999999554</v>
      </c>
      <c r="G620">
        <f t="shared" si="69"/>
        <v>434.69018181817313</v>
      </c>
    </row>
    <row r="621" spans="1:10" x14ac:dyDescent="0.25">
      <c r="A621" s="3" t="s">
        <v>29</v>
      </c>
      <c r="B621" s="3" t="s">
        <v>19</v>
      </c>
      <c r="C621" t="s">
        <v>19</v>
      </c>
      <c r="D621" s="4">
        <v>658</v>
      </c>
      <c r="E621" s="7">
        <f t="shared" si="75"/>
        <v>0.61038961038961037</v>
      </c>
      <c r="F621">
        <v>2231.4095999999554</v>
      </c>
      <c r="G621">
        <f t="shared" si="69"/>
        <v>1362.029236363609</v>
      </c>
    </row>
    <row r="622" spans="1:10" s="22" customFormat="1" x14ac:dyDescent="0.25">
      <c r="A622" s="21" t="s">
        <v>29</v>
      </c>
      <c r="B622" s="21" t="s">
        <v>20</v>
      </c>
      <c r="C622" s="22" t="s">
        <v>224</v>
      </c>
      <c r="D622" s="23">
        <v>120</v>
      </c>
      <c r="E622" s="24">
        <f>+D622/SUM($D$622:$D$623)</f>
        <v>0.10265183917878529</v>
      </c>
      <c r="F622" s="22">
        <v>82429.280099999916</v>
      </c>
      <c r="G622" s="22">
        <f t="shared" si="69"/>
        <v>8461.517204448237</v>
      </c>
      <c r="H622" s="25">
        <f>+SUM(E622:E623)</f>
        <v>1</v>
      </c>
      <c r="I622" s="22">
        <f>+SUM(G622:G623)</f>
        <v>82429.280099999916</v>
      </c>
      <c r="J622" s="22" t="b">
        <f>+I622=F622</f>
        <v>1</v>
      </c>
    </row>
    <row r="623" spans="1:10" x14ac:dyDescent="0.25">
      <c r="A623" s="3" t="s">
        <v>29</v>
      </c>
      <c r="B623" s="3" t="s">
        <v>20</v>
      </c>
      <c r="C623" t="s">
        <v>225</v>
      </c>
      <c r="D623" s="4">
        <v>1049</v>
      </c>
      <c r="E623" s="7">
        <f>+D623/SUM($D$622:$D$623)</f>
        <v>0.89734816082121471</v>
      </c>
      <c r="F623">
        <v>82429.280099999916</v>
      </c>
      <c r="G623">
        <f t="shared" si="69"/>
        <v>73967.762895551685</v>
      </c>
    </row>
    <row r="624" spans="1:10" s="22" customFormat="1" x14ac:dyDescent="0.25">
      <c r="A624" s="21" t="s">
        <v>29</v>
      </c>
      <c r="B624" s="21" t="s">
        <v>21</v>
      </c>
      <c r="C624" s="22" t="s">
        <v>226</v>
      </c>
      <c r="D624" s="23">
        <v>89</v>
      </c>
      <c r="E624" s="24">
        <f>+D624/SUM($D$624:$D$629)</f>
        <v>0.1424</v>
      </c>
      <c r="F624" s="22">
        <v>13517.810000000027</v>
      </c>
      <c r="G624" s="22">
        <f t="shared" si="69"/>
        <v>1924.9361440000039</v>
      </c>
      <c r="H624" s="25">
        <f>+SUM(E624:E629)</f>
        <v>1</v>
      </c>
      <c r="I624" s="22">
        <f>+SUM(G624:G629)</f>
        <v>13517.810000000027</v>
      </c>
      <c r="J624" s="22" t="b">
        <f>+I624=F624</f>
        <v>1</v>
      </c>
    </row>
    <row r="625" spans="1:10" x14ac:dyDescent="0.25">
      <c r="A625" s="3" t="s">
        <v>29</v>
      </c>
      <c r="B625" s="3" t="s">
        <v>21</v>
      </c>
      <c r="C625" t="s">
        <v>227</v>
      </c>
      <c r="D625" s="4">
        <v>60</v>
      </c>
      <c r="E625" s="7">
        <f t="shared" ref="E625:E629" si="76">+D625/SUM($D$624:$D$629)</f>
        <v>9.6000000000000002E-2</v>
      </c>
      <c r="F625">
        <v>13517.810000000027</v>
      </c>
      <c r="G625">
        <f t="shared" si="69"/>
        <v>1297.7097600000027</v>
      </c>
    </row>
    <row r="626" spans="1:10" x14ac:dyDescent="0.25">
      <c r="A626" s="3" t="s">
        <v>29</v>
      </c>
      <c r="B626" s="3" t="s">
        <v>21</v>
      </c>
      <c r="C626" t="s">
        <v>228</v>
      </c>
      <c r="D626" s="4">
        <v>30</v>
      </c>
      <c r="E626" s="7">
        <f t="shared" si="76"/>
        <v>4.8000000000000001E-2</v>
      </c>
      <c r="F626">
        <v>13517.810000000027</v>
      </c>
      <c r="G626">
        <f t="shared" si="69"/>
        <v>648.85488000000134</v>
      </c>
    </row>
    <row r="627" spans="1:10" x14ac:dyDescent="0.25">
      <c r="A627" s="3" t="s">
        <v>29</v>
      </c>
      <c r="B627" s="3" t="s">
        <v>21</v>
      </c>
      <c r="C627" t="s">
        <v>229</v>
      </c>
      <c r="D627" s="4">
        <v>206</v>
      </c>
      <c r="E627" s="7">
        <f t="shared" si="76"/>
        <v>0.3296</v>
      </c>
      <c r="F627">
        <v>13517.810000000027</v>
      </c>
      <c r="G627">
        <f t="shared" si="69"/>
        <v>4455.4701760000089</v>
      </c>
    </row>
    <row r="628" spans="1:10" x14ac:dyDescent="0.25">
      <c r="A628" s="3" t="s">
        <v>29</v>
      </c>
      <c r="B628" s="3" t="s">
        <v>21</v>
      </c>
      <c r="C628" t="s">
        <v>230</v>
      </c>
      <c r="D628" s="4">
        <v>60</v>
      </c>
      <c r="E628" s="7">
        <f t="shared" si="76"/>
        <v>9.6000000000000002E-2</v>
      </c>
      <c r="F628">
        <v>13517.810000000027</v>
      </c>
      <c r="G628">
        <f t="shared" si="69"/>
        <v>1297.7097600000027</v>
      </c>
    </row>
    <row r="629" spans="1:10" x14ac:dyDescent="0.25">
      <c r="A629" s="3" t="s">
        <v>29</v>
      </c>
      <c r="B629" s="3" t="s">
        <v>21</v>
      </c>
      <c r="C629" t="s">
        <v>231</v>
      </c>
      <c r="D629" s="4">
        <v>180</v>
      </c>
      <c r="E629" s="7">
        <f t="shared" si="76"/>
        <v>0.28799999999999998</v>
      </c>
      <c r="F629">
        <v>13517.810000000027</v>
      </c>
      <c r="G629">
        <f t="shared" si="69"/>
        <v>3893.1292800000074</v>
      </c>
    </row>
    <row r="630" spans="1:10" s="22" customFormat="1" x14ac:dyDescent="0.25">
      <c r="A630" s="21" t="s">
        <v>29</v>
      </c>
      <c r="B630" s="21" t="s">
        <v>22</v>
      </c>
      <c r="C630" s="22" t="s">
        <v>232</v>
      </c>
      <c r="D630" s="23">
        <v>360</v>
      </c>
      <c r="E630" s="24">
        <f>+D630/SUM($D$630:$D$638)</f>
        <v>0.43956043956043955</v>
      </c>
      <c r="F630" s="22">
        <v>13929.25989999983</v>
      </c>
      <c r="G630" s="22">
        <f t="shared" si="69"/>
        <v>6122.7516043955293</v>
      </c>
      <c r="H630" s="25">
        <f>+SUM(E630:E638)</f>
        <v>1.0000000000000002</v>
      </c>
      <c r="I630" s="22">
        <f>+SUM(G630:G638)</f>
        <v>13929.259899999832</v>
      </c>
      <c r="J630" s="22" t="b">
        <f>+I630=F630</f>
        <v>1</v>
      </c>
    </row>
    <row r="631" spans="1:10" x14ac:dyDescent="0.25">
      <c r="A631" s="3" t="s">
        <v>29</v>
      </c>
      <c r="B631" s="3" t="s">
        <v>22</v>
      </c>
      <c r="C631" t="s">
        <v>259</v>
      </c>
      <c r="D631" s="4">
        <v>90</v>
      </c>
      <c r="E631" s="7">
        <f t="shared" ref="E631:E638" si="77">+D631/SUM($D$630:$D$638)</f>
        <v>0.10989010989010989</v>
      </c>
      <c r="F631">
        <v>13929.25989999983</v>
      </c>
      <c r="G631">
        <f t="shared" si="69"/>
        <v>1530.6879010988823</v>
      </c>
    </row>
    <row r="632" spans="1:10" x14ac:dyDescent="0.25">
      <c r="A632" s="3" t="s">
        <v>29</v>
      </c>
      <c r="B632" s="3" t="s">
        <v>22</v>
      </c>
      <c r="C632" t="s">
        <v>233</v>
      </c>
      <c r="D632" s="4">
        <v>30</v>
      </c>
      <c r="E632" s="7">
        <f t="shared" si="77"/>
        <v>3.6630036630036632E-2</v>
      </c>
      <c r="F632">
        <v>13929.25989999983</v>
      </c>
      <c r="G632">
        <f t="shared" si="69"/>
        <v>510.22930036629418</v>
      </c>
    </row>
    <row r="633" spans="1:10" x14ac:dyDescent="0.25">
      <c r="A633" s="3" t="s">
        <v>29</v>
      </c>
      <c r="B633" s="3" t="s">
        <v>22</v>
      </c>
      <c r="C633" t="s">
        <v>234</v>
      </c>
      <c r="D633" s="4">
        <v>45</v>
      </c>
      <c r="E633" s="7">
        <f t="shared" si="77"/>
        <v>5.4945054945054944E-2</v>
      </c>
      <c r="F633">
        <v>13929.25989999983</v>
      </c>
      <c r="G633">
        <f t="shared" si="69"/>
        <v>765.34395054944116</v>
      </c>
    </row>
    <row r="634" spans="1:10" x14ac:dyDescent="0.25">
      <c r="A634" s="3" t="s">
        <v>29</v>
      </c>
      <c r="B634" s="3" t="s">
        <v>22</v>
      </c>
      <c r="C634" t="s">
        <v>235</v>
      </c>
      <c r="D634" s="4">
        <v>30</v>
      </c>
      <c r="E634" s="7">
        <f t="shared" si="77"/>
        <v>3.6630036630036632E-2</v>
      </c>
      <c r="F634">
        <v>13929.25989999983</v>
      </c>
      <c r="G634">
        <f t="shared" si="69"/>
        <v>510.22930036629418</v>
      </c>
    </row>
    <row r="635" spans="1:10" x14ac:dyDescent="0.25">
      <c r="A635" s="3" t="s">
        <v>29</v>
      </c>
      <c r="B635" s="3" t="s">
        <v>22</v>
      </c>
      <c r="C635" t="s">
        <v>236</v>
      </c>
      <c r="D635" s="4">
        <v>30</v>
      </c>
      <c r="E635" s="7">
        <f t="shared" si="77"/>
        <v>3.6630036630036632E-2</v>
      </c>
      <c r="F635">
        <v>13929.25989999983</v>
      </c>
      <c r="G635">
        <f t="shared" si="69"/>
        <v>510.22930036629418</v>
      </c>
    </row>
    <row r="636" spans="1:10" x14ac:dyDescent="0.25">
      <c r="A636" s="3" t="s">
        <v>29</v>
      </c>
      <c r="B636" s="3" t="s">
        <v>22</v>
      </c>
      <c r="C636" t="s">
        <v>237</v>
      </c>
      <c r="D636" s="4">
        <v>115</v>
      </c>
      <c r="E636" s="7">
        <f t="shared" si="77"/>
        <v>0.14041514041514042</v>
      </c>
      <c r="F636">
        <v>13929.25989999983</v>
      </c>
      <c r="G636">
        <f t="shared" si="69"/>
        <v>1955.8789847374608</v>
      </c>
    </row>
    <row r="637" spans="1:10" x14ac:dyDescent="0.25">
      <c r="A637" s="3" t="s">
        <v>29</v>
      </c>
      <c r="B637" s="3" t="s">
        <v>22</v>
      </c>
      <c r="C637" t="s">
        <v>238</v>
      </c>
      <c r="D637" s="4">
        <v>89</v>
      </c>
      <c r="E637" s="7">
        <f t="shared" si="77"/>
        <v>0.10866910866910867</v>
      </c>
      <c r="F637">
        <v>13929.25989999983</v>
      </c>
      <c r="G637">
        <f t="shared" si="69"/>
        <v>1513.6802577533392</v>
      </c>
    </row>
    <row r="638" spans="1:10" x14ac:dyDescent="0.25">
      <c r="A638" s="3" t="s">
        <v>29</v>
      </c>
      <c r="B638" s="3" t="s">
        <v>22</v>
      </c>
      <c r="C638" t="s">
        <v>239</v>
      </c>
      <c r="D638" s="4">
        <v>30</v>
      </c>
      <c r="E638" s="7">
        <f t="shared" si="77"/>
        <v>3.6630036630036632E-2</v>
      </c>
      <c r="F638">
        <v>13929.25989999983</v>
      </c>
      <c r="G638">
        <f t="shared" si="69"/>
        <v>510.22930036629418</v>
      </c>
    </row>
    <row r="639" spans="1:10" s="22" customFormat="1" x14ac:dyDescent="0.25">
      <c r="A639" s="21" t="s">
        <v>29</v>
      </c>
      <c r="B639" s="21" t="s">
        <v>23</v>
      </c>
      <c r="C639" s="22" t="s">
        <v>240</v>
      </c>
      <c r="D639" s="23">
        <v>29</v>
      </c>
      <c r="E639" s="24">
        <f>+D639/SUM($D$639:$D$647)</f>
        <v>4.6399999999999997E-2</v>
      </c>
      <c r="F639" s="22">
        <v>80075.641199999838</v>
      </c>
      <c r="G639" s="22">
        <f t="shared" si="69"/>
        <v>3715.5097516799924</v>
      </c>
      <c r="H639" s="25">
        <f>+SUM(E639:E647)</f>
        <v>1</v>
      </c>
      <c r="I639" s="22">
        <f>+SUM(G639:G647)</f>
        <v>80075.641199999838</v>
      </c>
      <c r="J639" s="22" t="b">
        <f>+I639=F639</f>
        <v>1</v>
      </c>
    </row>
    <row r="640" spans="1:10" x14ac:dyDescent="0.25">
      <c r="A640" s="3" t="s">
        <v>29</v>
      </c>
      <c r="B640" s="3" t="s">
        <v>23</v>
      </c>
      <c r="C640" t="s">
        <v>241</v>
      </c>
      <c r="D640" s="4">
        <v>146</v>
      </c>
      <c r="E640" s="7">
        <f t="shared" ref="E640:E647" si="78">+D640/SUM($D$639:$D$647)</f>
        <v>0.2336</v>
      </c>
      <c r="F640">
        <v>80075.641199999838</v>
      </c>
      <c r="G640">
        <f t="shared" si="69"/>
        <v>18705.669784319962</v>
      </c>
    </row>
    <row r="641" spans="1:10" x14ac:dyDescent="0.25">
      <c r="A641" s="3" t="s">
        <v>29</v>
      </c>
      <c r="B641" s="3" t="s">
        <v>23</v>
      </c>
      <c r="C641" t="s">
        <v>242</v>
      </c>
      <c r="D641" s="4">
        <v>90</v>
      </c>
      <c r="E641" s="7">
        <f t="shared" si="78"/>
        <v>0.14399999999999999</v>
      </c>
      <c r="F641">
        <v>80075.641199999838</v>
      </c>
      <c r="G641">
        <f t="shared" si="69"/>
        <v>11530.892332799976</v>
      </c>
    </row>
    <row r="642" spans="1:10" x14ac:dyDescent="0.25">
      <c r="A642" s="3" t="s">
        <v>29</v>
      </c>
      <c r="B642" s="3" t="s">
        <v>23</v>
      </c>
      <c r="C642" t="s">
        <v>243</v>
      </c>
      <c r="D642" s="4">
        <v>60</v>
      </c>
      <c r="E642" s="7">
        <f t="shared" si="78"/>
        <v>9.6000000000000002E-2</v>
      </c>
      <c r="F642">
        <v>80075.641199999838</v>
      </c>
      <c r="G642">
        <f t="shared" si="69"/>
        <v>7687.2615551999843</v>
      </c>
    </row>
    <row r="643" spans="1:10" x14ac:dyDescent="0.25">
      <c r="A643" s="3" t="s">
        <v>29</v>
      </c>
      <c r="B643" s="3" t="s">
        <v>23</v>
      </c>
      <c r="C643" t="s">
        <v>244</v>
      </c>
      <c r="D643" s="4">
        <v>60</v>
      </c>
      <c r="E643" s="7">
        <f t="shared" si="78"/>
        <v>9.6000000000000002E-2</v>
      </c>
      <c r="F643">
        <v>80075.641199999838</v>
      </c>
      <c r="G643">
        <f t="shared" si="69"/>
        <v>7687.2615551999843</v>
      </c>
    </row>
    <row r="644" spans="1:10" x14ac:dyDescent="0.25">
      <c r="A644" s="3" t="s">
        <v>29</v>
      </c>
      <c r="B644" s="3" t="s">
        <v>23</v>
      </c>
      <c r="C644" t="s">
        <v>245</v>
      </c>
      <c r="D644" s="4">
        <v>30</v>
      </c>
      <c r="E644" s="7">
        <f t="shared" si="78"/>
        <v>4.8000000000000001E-2</v>
      </c>
      <c r="F644">
        <v>80075.641199999838</v>
      </c>
      <c r="G644">
        <f t="shared" si="69"/>
        <v>3843.6307775999921</v>
      </c>
    </row>
    <row r="645" spans="1:10" x14ac:dyDescent="0.25">
      <c r="A645" s="3" t="s">
        <v>29</v>
      </c>
      <c r="B645" s="3" t="s">
        <v>23</v>
      </c>
      <c r="C645" t="s">
        <v>246</v>
      </c>
      <c r="D645" s="4">
        <v>60</v>
      </c>
      <c r="E645" s="7">
        <f t="shared" si="78"/>
        <v>9.6000000000000002E-2</v>
      </c>
      <c r="F645">
        <v>80075.641199999838</v>
      </c>
      <c r="G645">
        <f t="shared" si="69"/>
        <v>7687.2615551999843</v>
      </c>
    </row>
    <row r="646" spans="1:10" x14ac:dyDescent="0.25">
      <c r="A646" s="3" t="s">
        <v>29</v>
      </c>
      <c r="B646" s="3" t="s">
        <v>23</v>
      </c>
      <c r="C646" t="s">
        <v>247</v>
      </c>
      <c r="D646" s="4">
        <v>60</v>
      </c>
      <c r="E646" s="7">
        <f t="shared" si="78"/>
        <v>9.6000000000000002E-2</v>
      </c>
      <c r="F646">
        <v>80075.641199999838</v>
      </c>
      <c r="G646">
        <f t="shared" si="69"/>
        <v>7687.2615551999843</v>
      </c>
    </row>
    <row r="647" spans="1:10" x14ac:dyDescent="0.25">
      <c r="A647" s="5" t="s">
        <v>29</v>
      </c>
      <c r="B647" s="3" t="s">
        <v>23</v>
      </c>
      <c r="C647" t="s">
        <v>248</v>
      </c>
      <c r="D647" s="4">
        <v>90</v>
      </c>
      <c r="E647" s="7">
        <f t="shared" si="78"/>
        <v>0.14399999999999999</v>
      </c>
      <c r="F647">
        <v>80075.641199999838</v>
      </c>
      <c r="G647">
        <f t="shared" si="69"/>
        <v>11530.892332799976</v>
      </c>
    </row>
    <row r="648" spans="1:10" s="27" customFormat="1" x14ac:dyDescent="0.25">
      <c r="A648" s="26" t="s">
        <v>30</v>
      </c>
      <c r="B648" s="26" t="s">
        <v>0</v>
      </c>
      <c r="C648" s="27" t="s">
        <v>47</v>
      </c>
      <c r="D648" s="28">
        <v>1164</v>
      </c>
      <c r="E648" s="29">
        <f>+D648/SUM($D$648:$D$653)</f>
        <v>0.71896232242124769</v>
      </c>
      <c r="F648" s="27">
        <v>246222.23989999993</v>
      </c>
      <c r="G648" s="27">
        <f t="shared" si="69"/>
        <v>177024.51343026554</v>
      </c>
      <c r="H648" s="30">
        <f>+SUM(E648:E653)</f>
        <v>1</v>
      </c>
      <c r="I648" s="27">
        <f>+SUM(G648:G653)</f>
        <v>246222.23989999993</v>
      </c>
      <c r="J648" s="27" t="b">
        <f>+I648=F648</f>
        <v>1</v>
      </c>
    </row>
    <row r="649" spans="1:10" x14ac:dyDescent="0.25">
      <c r="A649" s="3" t="s">
        <v>30</v>
      </c>
      <c r="B649" s="3" t="s">
        <v>0</v>
      </c>
      <c r="C649" t="s">
        <v>51</v>
      </c>
      <c r="D649" s="4">
        <v>190</v>
      </c>
      <c r="E649" s="7">
        <f t="shared" ref="E649:E653" si="79">+D649/SUM($D$648:$D$653)</f>
        <v>0.11735639283508338</v>
      </c>
      <c r="F649">
        <v>246222.23989999993</v>
      </c>
      <c r="G649">
        <f t="shared" si="69"/>
        <v>28895.753910438532</v>
      </c>
    </row>
    <row r="650" spans="1:10" x14ac:dyDescent="0.25">
      <c r="A650" s="3" t="s">
        <v>30</v>
      </c>
      <c r="B650" s="3" t="s">
        <v>0</v>
      </c>
      <c r="C650" t="s">
        <v>52</v>
      </c>
      <c r="D650" s="4">
        <v>80</v>
      </c>
      <c r="E650" s="7">
        <f t="shared" si="79"/>
        <v>4.9413218035824581E-2</v>
      </c>
      <c r="F650">
        <v>246222.23989999993</v>
      </c>
      <c r="G650">
        <f t="shared" si="69"/>
        <v>12166.633225447804</v>
      </c>
    </row>
    <row r="651" spans="1:10" x14ac:dyDescent="0.25">
      <c r="A651" s="3" t="s">
        <v>30</v>
      </c>
      <c r="B651" s="3" t="s">
        <v>0</v>
      </c>
      <c r="C651" t="s">
        <v>254</v>
      </c>
      <c r="D651" s="4">
        <v>75</v>
      </c>
      <c r="E651" s="7">
        <f t="shared" si="79"/>
        <v>4.6324891908585547E-2</v>
      </c>
      <c r="F651">
        <v>246222.23989999993</v>
      </c>
      <c r="G651">
        <f t="shared" si="69"/>
        <v>11406.218648857315</v>
      </c>
    </row>
    <row r="652" spans="1:10" x14ac:dyDescent="0.25">
      <c r="A652" s="3" t="s">
        <v>30</v>
      </c>
      <c r="B652" s="3" t="s">
        <v>0</v>
      </c>
      <c r="C652" t="s">
        <v>53</v>
      </c>
      <c r="D652" s="4">
        <v>80</v>
      </c>
      <c r="E652" s="7">
        <f t="shared" si="79"/>
        <v>4.9413218035824581E-2</v>
      </c>
      <c r="F652">
        <v>246222.23989999993</v>
      </c>
      <c r="G652">
        <f t="shared" si="69"/>
        <v>12166.633225447804</v>
      </c>
    </row>
    <row r="653" spans="1:10" x14ac:dyDescent="0.25">
      <c r="A653" s="3" t="s">
        <v>30</v>
      </c>
      <c r="B653" s="3" t="s">
        <v>0</v>
      </c>
      <c r="C653" t="s">
        <v>58</v>
      </c>
      <c r="D653" s="4">
        <v>30</v>
      </c>
      <c r="E653" s="7">
        <f t="shared" si="79"/>
        <v>1.8529956763434219E-2</v>
      </c>
      <c r="F653">
        <v>246222.23989999993</v>
      </c>
      <c r="G653">
        <f t="shared" si="69"/>
        <v>4562.4874595429264</v>
      </c>
    </row>
    <row r="654" spans="1:10" s="27" customFormat="1" x14ac:dyDescent="0.25">
      <c r="A654" s="26" t="s">
        <v>30</v>
      </c>
      <c r="B654" s="26" t="s">
        <v>1</v>
      </c>
      <c r="C654" s="27" t="s">
        <v>60</v>
      </c>
      <c r="D654" s="28">
        <v>80</v>
      </c>
      <c r="E654" s="29">
        <f>+D654/SUM($D$654:$D$656)</f>
        <v>0.11940298507462686</v>
      </c>
      <c r="F654" s="27">
        <v>162842.5</v>
      </c>
      <c r="G654" s="27">
        <f t="shared" si="69"/>
        <v>19443.880597014926</v>
      </c>
      <c r="H654" s="30">
        <f>+SUM(E654:E656)</f>
        <v>1</v>
      </c>
      <c r="I654" s="27">
        <f>+SUM(G654:G656)</f>
        <v>162842.5</v>
      </c>
      <c r="J654" s="27" t="b">
        <f>+I654=F654</f>
        <v>1</v>
      </c>
    </row>
    <row r="655" spans="1:10" x14ac:dyDescent="0.25">
      <c r="A655" s="3" t="s">
        <v>30</v>
      </c>
      <c r="B655" s="3" t="s">
        <v>1</v>
      </c>
      <c r="C655" t="s">
        <v>63</v>
      </c>
      <c r="D655" s="4">
        <v>510</v>
      </c>
      <c r="E655" s="7">
        <f t="shared" ref="E655:E656" si="80">+D655/SUM($D$654:$D$656)</f>
        <v>0.76119402985074625</v>
      </c>
      <c r="F655">
        <v>162842.5</v>
      </c>
      <c r="G655">
        <f t="shared" si="69"/>
        <v>123954.73880597015</v>
      </c>
    </row>
    <row r="656" spans="1:10" x14ac:dyDescent="0.25">
      <c r="A656" s="3" t="s">
        <v>30</v>
      </c>
      <c r="B656" s="3" t="s">
        <v>1</v>
      </c>
      <c r="C656" t="s">
        <v>65</v>
      </c>
      <c r="D656" s="4">
        <v>80</v>
      </c>
      <c r="E656" s="7">
        <f t="shared" si="80"/>
        <v>0.11940298507462686</v>
      </c>
      <c r="F656">
        <v>162842.5</v>
      </c>
      <c r="G656">
        <f t="shared" si="69"/>
        <v>19443.880597014926</v>
      </c>
    </row>
    <row r="657" spans="1:10" s="27" customFormat="1" x14ac:dyDescent="0.25">
      <c r="A657" s="26" t="s">
        <v>30</v>
      </c>
      <c r="B657" s="26" t="s">
        <v>2</v>
      </c>
      <c r="C657" s="27" t="s">
        <v>66</v>
      </c>
      <c r="D657" s="28">
        <v>54</v>
      </c>
      <c r="E657" s="29">
        <f>+D657/SUM($D$657:$D$660)</f>
        <v>0.22040816326530613</v>
      </c>
      <c r="F657" s="27">
        <v>107888.7298999998</v>
      </c>
      <c r="G657" s="27">
        <f t="shared" ref="G657:G720" si="81">+E657*F657</f>
        <v>23779.556794285672</v>
      </c>
      <c r="H657" s="30">
        <f>+SUM(E657:E660)</f>
        <v>1</v>
      </c>
      <c r="I657" s="27">
        <f>+SUM(G657:G661)</f>
        <v>107888.7298999998</v>
      </c>
      <c r="J657" s="27" t="b">
        <f>+I657=F657</f>
        <v>1</v>
      </c>
    </row>
    <row r="658" spans="1:10" x14ac:dyDescent="0.25">
      <c r="A658" s="3" t="s">
        <v>30</v>
      </c>
      <c r="B658" s="3" t="s">
        <v>2</v>
      </c>
      <c r="C658" t="s">
        <v>2</v>
      </c>
      <c r="D658" s="4">
        <v>11</v>
      </c>
      <c r="E658" s="7">
        <f t="shared" ref="E658:E660" si="82">+D658/SUM($D$657:$D$660)</f>
        <v>4.4897959183673466E-2</v>
      </c>
      <c r="F658">
        <v>107888.7298999998</v>
      </c>
      <c r="G658">
        <f t="shared" si="81"/>
        <v>4843.9837914285627</v>
      </c>
    </row>
    <row r="659" spans="1:10" x14ac:dyDescent="0.25">
      <c r="A659" s="3" t="s">
        <v>30</v>
      </c>
      <c r="B659" s="3" t="s">
        <v>2</v>
      </c>
      <c r="C659" t="s">
        <v>70</v>
      </c>
      <c r="D659" s="4">
        <v>100</v>
      </c>
      <c r="E659" s="7">
        <f t="shared" si="82"/>
        <v>0.40816326530612246</v>
      </c>
      <c r="F659">
        <v>107888.7298999998</v>
      </c>
      <c r="G659">
        <f t="shared" si="81"/>
        <v>44036.216285714203</v>
      </c>
    </row>
    <row r="660" spans="1:10" x14ac:dyDescent="0.25">
      <c r="A660" s="3" t="s">
        <v>30</v>
      </c>
      <c r="B660" s="3" t="s">
        <v>2</v>
      </c>
      <c r="C660" t="s">
        <v>71</v>
      </c>
      <c r="D660" s="4">
        <v>80</v>
      </c>
      <c r="E660" s="7">
        <f t="shared" si="82"/>
        <v>0.32653061224489793</v>
      </c>
      <c r="F660">
        <v>107888.7298999998</v>
      </c>
      <c r="G660">
        <f t="shared" si="81"/>
        <v>35228.973028571359</v>
      </c>
    </row>
    <row r="661" spans="1:10" s="27" customFormat="1" x14ac:dyDescent="0.25">
      <c r="A661" s="26" t="s">
        <v>30</v>
      </c>
      <c r="B661" s="26" t="s">
        <v>3</v>
      </c>
      <c r="C661" s="27" t="s">
        <v>76</v>
      </c>
      <c r="D661" s="28">
        <v>697</v>
      </c>
      <c r="E661" s="29"/>
      <c r="F661" s="27">
        <v>107888.7298999998</v>
      </c>
      <c r="G661" s="27">
        <f t="shared" si="81"/>
        <v>0</v>
      </c>
      <c r="H661" s="30"/>
    </row>
    <row r="662" spans="1:10" s="27" customFormat="1" x14ac:dyDescent="0.25">
      <c r="A662" s="26" t="s">
        <v>30</v>
      </c>
      <c r="B662" s="26" t="s">
        <v>4</v>
      </c>
      <c r="C662" s="27" t="s">
        <v>77</v>
      </c>
      <c r="D662" s="28">
        <v>80</v>
      </c>
      <c r="E662" s="29"/>
      <c r="G662" s="27">
        <f t="shared" si="81"/>
        <v>0</v>
      </c>
      <c r="H662" s="30">
        <f>+SUM(E662:E670)</f>
        <v>0</v>
      </c>
      <c r="I662" s="27">
        <f>+SUM(G662:G670)</f>
        <v>0</v>
      </c>
      <c r="J662" s="27" t="b">
        <f>+I662=F662</f>
        <v>1</v>
      </c>
    </row>
    <row r="663" spans="1:10" x14ac:dyDescent="0.25">
      <c r="A663" s="3" t="s">
        <v>30</v>
      </c>
      <c r="B663" s="3" t="s">
        <v>4</v>
      </c>
      <c r="C663" t="s">
        <v>78</v>
      </c>
      <c r="D663" s="4">
        <v>80</v>
      </c>
      <c r="G663">
        <f t="shared" si="81"/>
        <v>0</v>
      </c>
    </row>
    <row r="664" spans="1:10" x14ac:dyDescent="0.25">
      <c r="A664" s="3" t="s">
        <v>30</v>
      </c>
      <c r="B664" s="3" t="s">
        <v>4</v>
      </c>
      <c r="C664" t="s">
        <v>80</v>
      </c>
      <c r="D664" s="4">
        <v>160</v>
      </c>
      <c r="G664">
        <f t="shared" si="81"/>
        <v>0</v>
      </c>
    </row>
    <row r="665" spans="1:10" x14ac:dyDescent="0.25">
      <c r="A665" s="3" t="s">
        <v>30</v>
      </c>
      <c r="B665" s="3" t="s">
        <v>4</v>
      </c>
      <c r="C665" t="s">
        <v>82</v>
      </c>
      <c r="D665" s="4">
        <v>160</v>
      </c>
      <c r="G665">
        <f t="shared" si="81"/>
        <v>0</v>
      </c>
    </row>
    <row r="666" spans="1:10" x14ac:dyDescent="0.25">
      <c r="A666" s="3" t="s">
        <v>30</v>
      </c>
      <c r="B666" s="3" t="s">
        <v>4</v>
      </c>
      <c r="C666" t="s">
        <v>83</v>
      </c>
      <c r="D666" s="4">
        <v>160</v>
      </c>
      <c r="G666">
        <f t="shared" si="81"/>
        <v>0</v>
      </c>
    </row>
    <row r="667" spans="1:10" x14ac:dyDescent="0.25">
      <c r="A667" s="3" t="s">
        <v>30</v>
      </c>
      <c r="B667" s="3" t="s">
        <v>4</v>
      </c>
      <c r="C667" t="s">
        <v>84</v>
      </c>
      <c r="D667" s="4">
        <v>80</v>
      </c>
      <c r="G667">
        <f t="shared" si="81"/>
        <v>0</v>
      </c>
    </row>
    <row r="668" spans="1:10" x14ac:dyDescent="0.25">
      <c r="A668" s="3" t="s">
        <v>30</v>
      </c>
      <c r="B668" s="3" t="s">
        <v>4</v>
      </c>
      <c r="C668" t="s">
        <v>86</v>
      </c>
      <c r="D668" s="4">
        <v>430</v>
      </c>
      <c r="G668">
        <f t="shared" si="81"/>
        <v>0</v>
      </c>
    </row>
    <row r="669" spans="1:10" s="27" customFormat="1" x14ac:dyDescent="0.25">
      <c r="A669" s="26" t="s">
        <v>30</v>
      </c>
      <c r="B669" s="26" t="s">
        <v>5</v>
      </c>
      <c r="C669" s="27" t="s">
        <v>87</v>
      </c>
      <c r="D669" s="28">
        <v>80</v>
      </c>
      <c r="E669" s="29"/>
      <c r="G669" s="27">
        <f t="shared" si="81"/>
        <v>0</v>
      </c>
      <c r="H669" s="30">
        <f>+SUM(E669:E677)</f>
        <v>0</v>
      </c>
      <c r="I669" s="27">
        <f>+SUM(G669:G677)</f>
        <v>0</v>
      </c>
      <c r="J669" s="27" t="b">
        <f>+I669=F669</f>
        <v>1</v>
      </c>
    </row>
    <row r="670" spans="1:10" x14ac:dyDescent="0.25">
      <c r="A670" s="3" t="s">
        <v>30</v>
      </c>
      <c r="B670" s="3" t="s">
        <v>5</v>
      </c>
      <c r="C670" t="s">
        <v>88</v>
      </c>
      <c r="D670" s="4">
        <v>900</v>
      </c>
      <c r="G670">
        <f t="shared" si="81"/>
        <v>0</v>
      </c>
    </row>
    <row r="671" spans="1:10" x14ac:dyDescent="0.25">
      <c r="A671" s="3" t="s">
        <v>30</v>
      </c>
      <c r="B671" s="3" t="s">
        <v>5</v>
      </c>
      <c r="C671" t="s">
        <v>90</v>
      </c>
      <c r="D671" s="4">
        <v>320</v>
      </c>
      <c r="G671">
        <f t="shared" si="81"/>
        <v>0</v>
      </c>
    </row>
    <row r="672" spans="1:10" x14ac:dyDescent="0.25">
      <c r="A672" s="3" t="s">
        <v>30</v>
      </c>
      <c r="B672" s="3" t="s">
        <v>5</v>
      </c>
      <c r="C672" t="s">
        <v>91</v>
      </c>
      <c r="D672" s="4">
        <v>124</v>
      </c>
      <c r="G672">
        <f t="shared" si="81"/>
        <v>0</v>
      </c>
    </row>
    <row r="673" spans="1:10" x14ac:dyDescent="0.25">
      <c r="A673" s="3" t="s">
        <v>30</v>
      </c>
      <c r="B673" s="3" t="s">
        <v>5</v>
      </c>
      <c r="C673" t="s">
        <v>92</v>
      </c>
      <c r="D673" s="4">
        <v>80</v>
      </c>
      <c r="G673">
        <f t="shared" si="81"/>
        <v>0</v>
      </c>
    </row>
    <row r="674" spans="1:10" s="27" customFormat="1" x14ac:dyDescent="0.25">
      <c r="A674" s="26" t="s">
        <v>30</v>
      </c>
      <c r="B674" s="26" t="s">
        <v>6</v>
      </c>
      <c r="C674" s="27" t="s">
        <v>94</v>
      </c>
      <c r="D674" s="28">
        <v>80</v>
      </c>
      <c r="E674" s="29"/>
      <c r="G674" s="27">
        <f t="shared" si="81"/>
        <v>0</v>
      </c>
      <c r="H674" s="30">
        <f>+SUM(E674:E682)</f>
        <v>0</v>
      </c>
      <c r="I674" s="27">
        <f>+SUM(G674:G682)</f>
        <v>0</v>
      </c>
      <c r="J674" s="27" t="b">
        <f>+I674=F674</f>
        <v>1</v>
      </c>
    </row>
    <row r="675" spans="1:10" x14ac:dyDescent="0.25">
      <c r="A675" s="3" t="s">
        <v>30</v>
      </c>
      <c r="B675" s="3" t="s">
        <v>6</v>
      </c>
      <c r="C675" t="s">
        <v>98</v>
      </c>
      <c r="D675" s="4">
        <v>80</v>
      </c>
      <c r="G675">
        <f t="shared" si="81"/>
        <v>0</v>
      </c>
    </row>
    <row r="676" spans="1:10" x14ac:dyDescent="0.25">
      <c r="A676" s="3" t="s">
        <v>30</v>
      </c>
      <c r="B676" s="3" t="s">
        <v>6</v>
      </c>
      <c r="C676" t="s">
        <v>99</v>
      </c>
      <c r="D676" s="4">
        <v>770</v>
      </c>
      <c r="G676">
        <f t="shared" si="81"/>
        <v>0</v>
      </c>
    </row>
    <row r="677" spans="1:10" x14ac:dyDescent="0.25">
      <c r="A677" s="3" t="s">
        <v>30</v>
      </c>
      <c r="B677" s="3" t="s">
        <v>6</v>
      </c>
      <c r="C677" t="s">
        <v>100</v>
      </c>
      <c r="D677" s="4">
        <v>80</v>
      </c>
      <c r="G677">
        <f t="shared" si="81"/>
        <v>0</v>
      </c>
    </row>
    <row r="678" spans="1:10" x14ac:dyDescent="0.25">
      <c r="A678" s="3" t="s">
        <v>30</v>
      </c>
      <c r="B678" s="3" t="s">
        <v>6</v>
      </c>
      <c r="C678" t="s">
        <v>101</v>
      </c>
      <c r="D678" s="4">
        <v>1051</v>
      </c>
      <c r="G678">
        <f t="shared" si="81"/>
        <v>0</v>
      </c>
    </row>
    <row r="679" spans="1:10" x14ac:dyDescent="0.25">
      <c r="A679" s="3" t="s">
        <v>30</v>
      </c>
      <c r="B679" s="3" t="s">
        <v>6</v>
      </c>
      <c r="C679" t="s">
        <v>103</v>
      </c>
      <c r="D679" s="4">
        <v>160</v>
      </c>
      <c r="G679">
        <f t="shared" si="81"/>
        <v>0</v>
      </c>
    </row>
    <row r="680" spans="1:10" x14ac:dyDescent="0.25">
      <c r="A680" s="3" t="s">
        <v>30</v>
      </c>
      <c r="B680" s="3" t="s">
        <v>6</v>
      </c>
      <c r="C680" t="s">
        <v>104</v>
      </c>
      <c r="D680" s="4">
        <v>80</v>
      </c>
      <c r="G680">
        <f t="shared" si="81"/>
        <v>0</v>
      </c>
    </row>
    <row r="681" spans="1:10" x14ac:dyDescent="0.25">
      <c r="A681" s="3" t="s">
        <v>30</v>
      </c>
      <c r="B681" s="3" t="s">
        <v>6</v>
      </c>
      <c r="C681" t="s">
        <v>105</v>
      </c>
      <c r="D681" s="4">
        <v>160</v>
      </c>
      <c r="G681">
        <f t="shared" si="81"/>
        <v>0</v>
      </c>
    </row>
    <row r="682" spans="1:10" x14ac:dyDescent="0.25">
      <c r="A682" s="3" t="s">
        <v>30</v>
      </c>
      <c r="B682" s="3" t="s">
        <v>6</v>
      </c>
      <c r="C682" t="s">
        <v>106</v>
      </c>
      <c r="D682" s="4">
        <v>80</v>
      </c>
      <c r="G682">
        <f t="shared" si="81"/>
        <v>0</v>
      </c>
    </row>
    <row r="683" spans="1:10" s="27" customFormat="1" x14ac:dyDescent="0.25">
      <c r="A683" s="26" t="s">
        <v>30</v>
      </c>
      <c r="B683" s="26" t="s">
        <v>7</v>
      </c>
      <c r="C683" s="27" t="s">
        <v>107</v>
      </c>
      <c r="D683" s="28">
        <v>77</v>
      </c>
      <c r="E683" s="29"/>
      <c r="G683" s="27">
        <f t="shared" si="81"/>
        <v>0</v>
      </c>
      <c r="H683" s="30">
        <f>+SUM(E683:E691)</f>
        <v>0</v>
      </c>
      <c r="I683" s="27">
        <f>+SUM(G683:G691)</f>
        <v>0</v>
      </c>
      <c r="J683" s="27" t="b">
        <f>+I683=F683</f>
        <v>1</v>
      </c>
    </row>
    <row r="684" spans="1:10" x14ac:dyDescent="0.25">
      <c r="A684" s="3" t="s">
        <v>30</v>
      </c>
      <c r="B684" s="3" t="s">
        <v>7</v>
      </c>
      <c r="C684" t="s">
        <v>7</v>
      </c>
      <c r="D684" s="4">
        <v>519</v>
      </c>
      <c r="G684">
        <f t="shared" si="81"/>
        <v>0</v>
      </c>
    </row>
    <row r="685" spans="1:10" x14ac:dyDescent="0.25">
      <c r="A685" s="3" t="s">
        <v>30</v>
      </c>
      <c r="B685" s="3" t="s">
        <v>7</v>
      </c>
      <c r="C685" t="s">
        <v>109</v>
      </c>
      <c r="D685" s="4">
        <v>80</v>
      </c>
      <c r="G685">
        <f t="shared" si="81"/>
        <v>0</v>
      </c>
    </row>
    <row r="686" spans="1:10" x14ac:dyDescent="0.25">
      <c r="A686" s="3" t="s">
        <v>30</v>
      </c>
      <c r="B686" s="3" t="s">
        <v>7</v>
      </c>
      <c r="C686" t="s">
        <v>110</v>
      </c>
      <c r="D686" s="4">
        <v>80</v>
      </c>
      <c r="G686">
        <f t="shared" si="81"/>
        <v>0</v>
      </c>
    </row>
    <row r="687" spans="1:10" x14ac:dyDescent="0.25">
      <c r="A687" s="3" t="s">
        <v>30</v>
      </c>
      <c r="B687" s="3" t="s">
        <v>7</v>
      </c>
      <c r="C687" t="s">
        <v>112</v>
      </c>
      <c r="D687" s="4">
        <v>110</v>
      </c>
      <c r="G687">
        <f t="shared" si="81"/>
        <v>0</v>
      </c>
    </row>
    <row r="688" spans="1:10" s="27" customFormat="1" x14ac:dyDescent="0.25">
      <c r="A688" s="26" t="s">
        <v>30</v>
      </c>
      <c r="B688" s="26" t="s">
        <v>8</v>
      </c>
      <c r="C688" s="27" t="s">
        <v>114</v>
      </c>
      <c r="D688" s="28">
        <v>28</v>
      </c>
      <c r="E688" s="29"/>
      <c r="G688" s="27">
        <f t="shared" si="81"/>
        <v>0</v>
      </c>
      <c r="H688" s="30">
        <f t="shared" ref="H688:H689" si="83">+SUM(E688:E696)</f>
        <v>0</v>
      </c>
      <c r="I688" s="27">
        <f t="shared" ref="I688:I689" si="84">+SUM(G688:G696)</f>
        <v>0</v>
      </c>
      <c r="J688" s="27" t="b">
        <f t="shared" ref="J688:J689" si="85">+I688=F688</f>
        <v>1</v>
      </c>
    </row>
    <row r="689" spans="1:10" s="27" customFormat="1" x14ac:dyDescent="0.25">
      <c r="A689" s="26" t="s">
        <v>30</v>
      </c>
      <c r="B689" s="26" t="s">
        <v>9</v>
      </c>
      <c r="C689" s="27" t="s">
        <v>120</v>
      </c>
      <c r="D689" s="28">
        <v>30</v>
      </c>
      <c r="E689" s="29"/>
      <c r="G689" s="27">
        <f t="shared" si="81"/>
        <v>0</v>
      </c>
      <c r="H689" s="30">
        <f t="shared" si="83"/>
        <v>0</v>
      </c>
      <c r="I689" s="27">
        <f t="shared" si="84"/>
        <v>0</v>
      </c>
      <c r="J689" s="27" t="b">
        <f t="shared" si="85"/>
        <v>1</v>
      </c>
    </row>
    <row r="690" spans="1:10" x14ac:dyDescent="0.25">
      <c r="A690" s="3" t="s">
        <v>30</v>
      </c>
      <c r="B690" s="3" t="s">
        <v>9</v>
      </c>
      <c r="C690" t="s">
        <v>121</v>
      </c>
      <c r="D690" s="4">
        <v>533</v>
      </c>
      <c r="G690">
        <f t="shared" si="81"/>
        <v>0</v>
      </c>
    </row>
    <row r="691" spans="1:10" x14ac:dyDescent="0.25">
      <c r="A691" s="3" t="s">
        <v>30</v>
      </c>
      <c r="B691" s="3" t="s">
        <v>9</v>
      </c>
      <c r="C691" t="s">
        <v>122</v>
      </c>
      <c r="D691" s="4">
        <v>140</v>
      </c>
      <c r="G691">
        <f t="shared" si="81"/>
        <v>0</v>
      </c>
    </row>
    <row r="692" spans="1:10" x14ac:dyDescent="0.25">
      <c r="A692" s="3" t="s">
        <v>30</v>
      </c>
      <c r="B692" s="3" t="s">
        <v>9</v>
      </c>
      <c r="C692" t="s">
        <v>125</v>
      </c>
      <c r="D692" s="4">
        <v>3740</v>
      </c>
      <c r="G692">
        <f t="shared" si="81"/>
        <v>0</v>
      </c>
    </row>
    <row r="693" spans="1:10" x14ac:dyDescent="0.25">
      <c r="A693" s="3" t="s">
        <v>30</v>
      </c>
      <c r="B693" s="3" t="s">
        <v>9</v>
      </c>
      <c r="C693" t="s">
        <v>128</v>
      </c>
      <c r="D693" s="4">
        <v>75</v>
      </c>
      <c r="G693">
        <f t="shared" si="81"/>
        <v>0</v>
      </c>
    </row>
    <row r="694" spans="1:10" x14ac:dyDescent="0.25">
      <c r="A694" s="3" t="s">
        <v>30</v>
      </c>
      <c r="B694" s="3" t="s">
        <v>9</v>
      </c>
      <c r="C694" t="s">
        <v>130</v>
      </c>
      <c r="D694" s="4">
        <v>80</v>
      </c>
      <c r="G694">
        <f t="shared" si="81"/>
        <v>0</v>
      </c>
    </row>
    <row r="695" spans="1:10" x14ac:dyDescent="0.25">
      <c r="A695" s="3" t="s">
        <v>30</v>
      </c>
      <c r="B695" s="3" t="s">
        <v>9</v>
      </c>
      <c r="C695" t="s">
        <v>131</v>
      </c>
      <c r="D695" s="4">
        <v>80</v>
      </c>
      <c r="G695">
        <f t="shared" si="81"/>
        <v>0</v>
      </c>
    </row>
    <row r="696" spans="1:10" x14ac:dyDescent="0.25">
      <c r="A696" s="3" t="s">
        <v>30</v>
      </c>
      <c r="B696" s="3" t="s">
        <v>9</v>
      </c>
      <c r="C696" t="s">
        <v>135</v>
      </c>
      <c r="D696" s="4">
        <v>80</v>
      </c>
      <c r="G696">
        <f t="shared" si="81"/>
        <v>0</v>
      </c>
    </row>
    <row r="697" spans="1:10" x14ac:dyDescent="0.25">
      <c r="A697" s="3" t="s">
        <v>30</v>
      </c>
      <c r="B697" s="3" t="s">
        <v>9</v>
      </c>
      <c r="C697" t="s">
        <v>137</v>
      </c>
      <c r="D697" s="4">
        <v>68</v>
      </c>
      <c r="G697">
        <f t="shared" si="81"/>
        <v>0</v>
      </c>
    </row>
    <row r="698" spans="1:10" x14ac:dyDescent="0.25">
      <c r="A698" s="3" t="s">
        <v>30</v>
      </c>
      <c r="B698" s="3" t="s">
        <v>9</v>
      </c>
      <c r="C698" t="s">
        <v>138</v>
      </c>
      <c r="D698" s="4">
        <v>30</v>
      </c>
      <c r="G698">
        <f t="shared" si="81"/>
        <v>0</v>
      </c>
    </row>
    <row r="699" spans="1:10" s="27" customFormat="1" x14ac:dyDescent="0.25">
      <c r="A699" s="26" t="s">
        <v>30</v>
      </c>
      <c r="B699" s="26" t="s">
        <v>10</v>
      </c>
      <c r="C699" s="27" t="s">
        <v>141</v>
      </c>
      <c r="D699" s="28">
        <v>80</v>
      </c>
      <c r="E699" s="29"/>
      <c r="G699" s="27">
        <f t="shared" si="81"/>
        <v>0</v>
      </c>
      <c r="H699" s="30">
        <f>+SUM(E699:E707)</f>
        <v>0</v>
      </c>
      <c r="I699" s="27">
        <f>+SUM(G699:G707)</f>
        <v>0</v>
      </c>
      <c r="J699" s="27" t="b">
        <f>+I699=F699</f>
        <v>1</v>
      </c>
    </row>
    <row r="700" spans="1:10" x14ac:dyDescent="0.25">
      <c r="A700" s="3" t="s">
        <v>30</v>
      </c>
      <c r="B700" s="3" t="s">
        <v>10</v>
      </c>
      <c r="C700" t="s">
        <v>142</v>
      </c>
      <c r="D700" s="4">
        <v>810</v>
      </c>
      <c r="G700">
        <f t="shared" si="81"/>
        <v>0</v>
      </c>
    </row>
    <row r="701" spans="1:10" x14ac:dyDescent="0.25">
      <c r="A701" s="3" t="s">
        <v>30</v>
      </c>
      <c r="B701" s="3" t="s">
        <v>10</v>
      </c>
      <c r="C701" t="s">
        <v>143</v>
      </c>
      <c r="D701" s="4">
        <v>160</v>
      </c>
      <c r="G701">
        <f t="shared" si="81"/>
        <v>0</v>
      </c>
    </row>
    <row r="702" spans="1:10" s="27" customFormat="1" x14ac:dyDescent="0.25">
      <c r="A702" s="26" t="s">
        <v>30</v>
      </c>
      <c r="B702" s="26" t="s">
        <v>11</v>
      </c>
      <c r="C702" s="27" t="s">
        <v>146</v>
      </c>
      <c r="D702" s="28">
        <v>110</v>
      </c>
      <c r="E702" s="29"/>
      <c r="G702" s="27">
        <f t="shared" si="81"/>
        <v>0</v>
      </c>
      <c r="H702" s="30">
        <f>+SUM(E702:E710)</f>
        <v>0</v>
      </c>
      <c r="I702" s="27">
        <f>+SUM(G702:G710)</f>
        <v>0</v>
      </c>
      <c r="J702" s="27" t="b">
        <f>+I702=F702</f>
        <v>1</v>
      </c>
    </row>
    <row r="703" spans="1:10" x14ac:dyDescent="0.25">
      <c r="A703" s="3" t="s">
        <v>30</v>
      </c>
      <c r="B703" s="3" t="s">
        <v>11</v>
      </c>
      <c r="C703" t="s">
        <v>147</v>
      </c>
      <c r="D703" s="4">
        <v>80</v>
      </c>
      <c r="G703">
        <f t="shared" si="81"/>
        <v>0</v>
      </c>
    </row>
    <row r="704" spans="1:10" x14ac:dyDescent="0.25">
      <c r="A704" s="3" t="s">
        <v>30</v>
      </c>
      <c r="B704" s="3" t="s">
        <v>11</v>
      </c>
      <c r="C704" t="s">
        <v>11</v>
      </c>
      <c r="D704" s="4">
        <v>685</v>
      </c>
      <c r="G704">
        <f t="shared" si="81"/>
        <v>0</v>
      </c>
    </row>
    <row r="705" spans="1:10" x14ac:dyDescent="0.25">
      <c r="A705" s="3" t="s">
        <v>30</v>
      </c>
      <c r="B705" s="3" t="s">
        <v>11</v>
      </c>
      <c r="C705" t="s">
        <v>152</v>
      </c>
      <c r="D705" s="4">
        <v>30</v>
      </c>
      <c r="G705">
        <f t="shared" si="81"/>
        <v>0</v>
      </c>
    </row>
    <row r="706" spans="1:10" x14ac:dyDescent="0.25">
      <c r="A706" s="3" t="s">
        <v>30</v>
      </c>
      <c r="B706" s="3" t="s">
        <v>11</v>
      </c>
      <c r="C706" t="s">
        <v>154</v>
      </c>
      <c r="D706" s="4">
        <v>80</v>
      </c>
      <c r="G706">
        <f t="shared" si="81"/>
        <v>0</v>
      </c>
    </row>
    <row r="707" spans="1:10" x14ac:dyDescent="0.25">
      <c r="A707" s="3" t="s">
        <v>30</v>
      </c>
      <c r="B707" s="3" t="s">
        <v>11</v>
      </c>
      <c r="C707" t="s">
        <v>158</v>
      </c>
      <c r="D707" s="4">
        <v>110</v>
      </c>
      <c r="G707">
        <f t="shared" si="81"/>
        <v>0</v>
      </c>
    </row>
    <row r="708" spans="1:10" x14ac:dyDescent="0.25">
      <c r="A708" s="3" t="s">
        <v>30</v>
      </c>
      <c r="B708" s="3" t="s">
        <v>11</v>
      </c>
      <c r="C708" t="s">
        <v>159</v>
      </c>
      <c r="D708" s="4">
        <v>41</v>
      </c>
      <c r="G708">
        <f t="shared" si="81"/>
        <v>0</v>
      </c>
    </row>
    <row r="709" spans="1:10" s="27" customFormat="1" x14ac:dyDescent="0.25">
      <c r="A709" s="26" t="s">
        <v>30</v>
      </c>
      <c r="B709" s="26" t="s">
        <v>12</v>
      </c>
      <c r="C709" s="27" t="s">
        <v>162</v>
      </c>
      <c r="D709" s="28">
        <v>517</v>
      </c>
      <c r="E709" s="29"/>
      <c r="G709" s="27">
        <f t="shared" si="81"/>
        <v>0</v>
      </c>
      <c r="H709" s="30">
        <f>+SUM(E709:E717)</f>
        <v>0</v>
      </c>
      <c r="I709" s="27">
        <f>+SUM(G709:G717)</f>
        <v>0</v>
      </c>
      <c r="J709" s="27" t="b">
        <f>+I709=F709</f>
        <v>1</v>
      </c>
    </row>
    <row r="710" spans="1:10" x14ac:dyDescent="0.25">
      <c r="A710" s="3" t="s">
        <v>30</v>
      </c>
      <c r="B710" s="3" t="s">
        <v>12</v>
      </c>
      <c r="C710" t="s">
        <v>163</v>
      </c>
      <c r="D710" s="4">
        <v>29</v>
      </c>
      <c r="G710">
        <f t="shared" si="81"/>
        <v>0</v>
      </c>
    </row>
    <row r="711" spans="1:10" x14ac:dyDescent="0.25">
      <c r="A711" s="3" t="s">
        <v>30</v>
      </c>
      <c r="B711" s="3" t="s">
        <v>12</v>
      </c>
      <c r="C711" t="s">
        <v>167</v>
      </c>
      <c r="D711" s="4">
        <v>110</v>
      </c>
      <c r="G711">
        <f t="shared" si="81"/>
        <v>0</v>
      </c>
    </row>
    <row r="712" spans="1:10" x14ac:dyDescent="0.25">
      <c r="A712" s="3" t="s">
        <v>30</v>
      </c>
      <c r="B712" s="3" t="s">
        <v>12</v>
      </c>
      <c r="C712" t="s">
        <v>168</v>
      </c>
      <c r="D712" s="4">
        <v>188</v>
      </c>
      <c r="G712">
        <f t="shared" si="81"/>
        <v>0</v>
      </c>
    </row>
    <row r="713" spans="1:10" x14ac:dyDescent="0.25">
      <c r="A713" s="3" t="s">
        <v>30</v>
      </c>
      <c r="B713" s="3" t="s">
        <v>12</v>
      </c>
      <c r="C713" t="s">
        <v>170</v>
      </c>
      <c r="D713" s="4">
        <v>80</v>
      </c>
      <c r="G713">
        <f t="shared" si="81"/>
        <v>0</v>
      </c>
    </row>
    <row r="714" spans="1:10" x14ac:dyDescent="0.25">
      <c r="A714" s="3" t="s">
        <v>30</v>
      </c>
      <c r="B714" s="3" t="s">
        <v>12</v>
      </c>
      <c r="C714" t="s">
        <v>173</v>
      </c>
      <c r="D714" s="4">
        <v>32</v>
      </c>
      <c r="G714">
        <f t="shared" si="81"/>
        <v>0</v>
      </c>
    </row>
    <row r="715" spans="1:10" s="27" customFormat="1" x14ac:dyDescent="0.25">
      <c r="A715" s="26" t="s">
        <v>30</v>
      </c>
      <c r="B715" s="26" t="s">
        <v>13</v>
      </c>
      <c r="C715" s="27" t="s">
        <v>182</v>
      </c>
      <c r="D715" s="28">
        <v>1509</v>
      </c>
      <c r="E715" s="29"/>
      <c r="G715" s="27">
        <f t="shared" si="81"/>
        <v>0</v>
      </c>
      <c r="H715" s="30">
        <f>+SUM(E715:E723)</f>
        <v>0</v>
      </c>
      <c r="I715" s="27">
        <f>+SUM(G715:G723)</f>
        <v>0</v>
      </c>
      <c r="J715" s="27" t="b">
        <f>+I715=F715</f>
        <v>1</v>
      </c>
    </row>
    <row r="716" spans="1:10" x14ac:dyDescent="0.25">
      <c r="A716" s="3" t="s">
        <v>30</v>
      </c>
      <c r="B716" s="3" t="s">
        <v>13</v>
      </c>
      <c r="C716" t="s">
        <v>185</v>
      </c>
      <c r="D716" s="4">
        <v>364</v>
      </c>
      <c r="G716">
        <f t="shared" si="81"/>
        <v>0</v>
      </c>
    </row>
    <row r="717" spans="1:10" x14ac:dyDescent="0.25">
      <c r="A717" s="3" t="s">
        <v>30</v>
      </c>
      <c r="B717" s="3" t="s">
        <v>13</v>
      </c>
      <c r="C717" t="s">
        <v>186</v>
      </c>
      <c r="D717" s="4">
        <v>478</v>
      </c>
      <c r="G717">
        <f t="shared" si="81"/>
        <v>0</v>
      </c>
    </row>
    <row r="718" spans="1:10" x14ac:dyDescent="0.25">
      <c r="A718" s="3" t="s">
        <v>30</v>
      </c>
      <c r="B718" s="3" t="s">
        <v>13</v>
      </c>
      <c r="C718" t="s">
        <v>189</v>
      </c>
      <c r="D718" s="4">
        <v>113</v>
      </c>
      <c r="G718">
        <f t="shared" si="81"/>
        <v>0</v>
      </c>
    </row>
    <row r="719" spans="1:10" x14ac:dyDescent="0.25">
      <c r="A719" s="3" t="s">
        <v>30</v>
      </c>
      <c r="B719" s="3" t="s">
        <v>13</v>
      </c>
      <c r="C719" t="s">
        <v>191</v>
      </c>
      <c r="D719" s="4">
        <v>60</v>
      </c>
      <c r="G719">
        <f t="shared" si="81"/>
        <v>0</v>
      </c>
    </row>
    <row r="720" spans="1:10" x14ac:dyDescent="0.25">
      <c r="A720" s="3" t="s">
        <v>30</v>
      </c>
      <c r="B720" s="3" t="s">
        <v>13</v>
      </c>
      <c r="C720" t="s">
        <v>192</v>
      </c>
      <c r="D720" s="4">
        <v>80</v>
      </c>
      <c r="G720">
        <f t="shared" si="81"/>
        <v>0</v>
      </c>
    </row>
    <row r="721" spans="1:10" s="27" customFormat="1" x14ac:dyDescent="0.25">
      <c r="A721" s="26" t="s">
        <v>30</v>
      </c>
      <c r="B721" s="26" t="s">
        <v>14</v>
      </c>
      <c r="C721" s="27" t="s">
        <v>194</v>
      </c>
      <c r="D721" s="28">
        <v>80</v>
      </c>
      <c r="E721" s="29"/>
      <c r="G721" s="27">
        <f t="shared" ref="G721:G747" si="86">+E721*F721</f>
        <v>0</v>
      </c>
      <c r="H721" s="30">
        <f>+SUM(E721:E729)</f>
        <v>0</v>
      </c>
      <c r="I721" s="27">
        <f>+SUM(G721:G729)</f>
        <v>0</v>
      </c>
      <c r="J721" s="27" t="b">
        <f>+I721=F721</f>
        <v>1</v>
      </c>
    </row>
    <row r="722" spans="1:10" x14ac:dyDescent="0.25">
      <c r="A722" s="3" t="s">
        <v>30</v>
      </c>
      <c r="B722" s="3" t="s">
        <v>14</v>
      </c>
      <c r="C722" t="s">
        <v>196</v>
      </c>
      <c r="D722" s="4">
        <v>39</v>
      </c>
      <c r="G722">
        <f t="shared" si="86"/>
        <v>0</v>
      </c>
    </row>
    <row r="723" spans="1:10" s="27" customFormat="1" x14ac:dyDescent="0.25">
      <c r="A723" s="26" t="s">
        <v>30</v>
      </c>
      <c r="B723" s="26" t="s">
        <v>15</v>
      </c>
      <c r="C723" s="27" t="s">
        <v>208</v>
      </c>
      <c r="D723" s="28">
        <v>56</v>
      </c>
      <c r="E723" s="29"/>
      <c r="G723" s="27">
        <f t="shared" si="86"/>
        <v>0</v>
      </c>
      <c r="H723" s="30">
        <f t="shared" ref="H723:H724" si="87">+SUM(E723:E731)</f>
        <v>0</v>
      </c>
      <c r="I723" s="27">
        <f t="shared" ref="I723:I724" si="88">+SUM(G723:G731)</f>
        <v>0</v>
      </c>
      <c r="J723" s="27" t="b">
        <f t="shared" ref="J723:J724" si="89">+I723=F723</f>
        <v>1</v>
      </c>
    </row>
    <row r="724" spans="1:10" s="27" customFormat="1" x14ac:dyDescent="0.25">
      <c r="A724" s="26" t="s">
        <v>30</v>
      </c>
      <c r="B724" s="26" t="s">
        <v>16</v>
      </c>
      <c r="C724" s="27" t="s">
        <v>210</v>
      </c>
      <c r="D724" s="28">
        <v>80</v>
      </c>
      <c r="E724" s="29"/>
      <c r="G724" s="27">
        <f t="shared" si="86"/>
        <v>0</v>
      </c>
      <c r="H724" s="30">
        <f t="shared" si="87"/>
        <v>0</v>
      </c>
      <c r="I724" s="27">
        <f t="shared" si="88"/>
        <v>0</v>
      </c>
      <c r="J724" s="27" t="b">
        <f t="shared" si="89"/>
        <v>1</v>
      </c>
    </row>
    <row r="725" spans="1:10" x14ac:dyDescent="0.25">
      <c r="A725" s="3" t="s">
        <v>30</v>
      </c>
      <c r="B725" s="3" t="s">
        <v>16</v>
      </c>
      <c r="C725" t="s">
        <v>16</v>
      </c>
      <c r="D725" s="4">
        <v>109</v>
      </c>
      <c r="G725">
        <f t="shared" si="86"/>
        <v>0</v>
      </c>
    </row>
    <row r="726" spans="1:10" s="27" customFormat="1" x14ac:dyDescent="0.25">
      <c r="A726" s="26" t="s">
        <v>30</v>
      </c>
      <c r="B726" s="26" t="s">
        <v>17</v>
      </c>
      <c r="C726" s="27" t="s">
        <v>212</v>
      </c>
      <c r="D726" s="28">
        <v>80</v>
      </c>
      <c r="E726" s="29"/>
      <c r="G726" s="27">
        <f t="shared" si="86"/>
        <v>0</v>
      </c>
      <c r="H726" s="30">
        <f>+SUM(E726:E734)</f>
        <v>0</v>
      </c>
      <c r="I726" s="27">
        <f>+SUM(G726:G734)</f>
        <v>0</v>
      </c>
      <c r="J726" s="27" t="b">
        <f>+I726=F726</f>
        <v>1</v>
      </c>
    </row>
    <row r="727" spans="1:10" x14ac:dyDescent="0.25">
      <c r="A727" s="3" t="s">
        <v>30</v>
      </c>
      <c r="B727" s="3" t="s">
        <v>17</v>
      </c>
      <c r="C727" t="s">
        <v>17</v>
      </c>
      <c r="D727" s="4">
        <v>112</v>
      </c>
      <c r="G727">
        <f t="shared" si="86"/>
        <v>0</v>
      </c>
    </row>
    <row r="728" spans="1:10" x14ac:dyDescent="0.25">
      <c r="A728" s="3" t="s">
        <v>30</v>
      </c>
      <c r="B728" s="3" t="s">
        <v>17</v>
      </c>
      <c r="C728" t="s">
        <v>214</v>
      </c>
      <c r="D728" s="4">
        <v>80</v>
      </c>
      <c r="G728">
        <f t="shared" si="86"/>
        <v>0</v>
      </c>
    </row>
    <row r="729" spans="1:10" s="27" customFormat="1" x14ac:dyDescent="0.25">
      <c r="A729" s="26" t="s">
        <v>30</v>
      </c>
      <c r="B729" s="26" t="s">
        <v>18</v>
      </c>
      <c r="C729" s="27" t="s">
        <v>215</v>
      </c>
      <c r="D729" s="28">
        <v>215</v>
      </c>
      <c r="E729" s="29"/>
      <c r="G729" s="27">
        <f t="shared" si="86"/>
        <v>0</v>
      </c>
      <c r="H729" s="30">
        <f>+SUM(E729:E737)</f>
        <v>0</v>
      </c>
      <c r="I729" s="27">
        <f>+SUM(G729:G737)</f>
        <v>0</v>
      </c>
      <c r="J729" s="27" t="b">
        <f>+I729=F729</f>
        <v>1</v>
      </c>
    </row>
    <row r="730" spans="1:10" x14ac:dyDescent="0.25">
      <c r="A730" s="3" t="s">
        <v>30</v>
      </c>
      <c r="B730" s="3" t="s">
        <v>18</v>
      </c>
      <c r="C730" t="s">
        <v>216</v>
      </c>
      <c r="D730" s="4">
        <v>4764</v>
      </c>
      <c r="G730">
        <f t="shared" si="86"/>
        <v>0</v>
      </c>
    </row>
    <row r="731" spans="1:10" x14ac:dyDescent="0.25">
      <c r="A731" s="3" t="s">
        <v>30</v>
      </c>
      <c r="B731" s="3" t="s">
        <v>18</v>
      </c>
      <c r="C731" t="s">
        <v>217</v>
      </c>
      <c r="D731" s="4">
        <v>182</v>
      </c>
      <c r="G731">
        <f t="shared" si="86"/>
        <v>0</v>
      </c>
    </row>
    <row r="732" spans="1:10" x14ac:dyDescent="0.25">
      <c r="A732" s="3" t="s">
        <v>30</v>
      </c>
      <c r="B732" s="3" t="s">
        <v>18</v>
      </c>
      <c r="C732" t="s">
        <v>218</v>
      </c>
      <c r="D732" s="4">
        <v>107</v>
      </c>
      <c r="G732">
        <f t="shared" si="86"/>
        <v>0</v>
      </c>
    </row>
    <row r="733" spans="1:10" x14ac:dyDescent="0.25">
      <c r="A733" s="3" t="s">
        <v>30</v>
      </c>
      <c r="B733" s="3" t="s">
        <v>18</v>
      </c>
      <c r="C733" t="s">
        <v>220</v>
      </c>
      <c r="D733" s="4">
        <v>85</v>
      </c>
      <c r="G733">
        <f t="shared" si="86"/>
        <v>0</v>
      </c>
    </row>
    <row r="734" spans="1:10" x14ac:dyDescent="0.25">
      <c r="A734" s="3" t="s">
        <v>30</v>
      </c>
      <c r="B734" s="3" t="s">
        <v>18</v>
      </c>
      <c r="C734" t="s">
        <v>258</v>
      </c>
      <c r="D734" s="4">
        <v>401</v>
      </c>
      <c r="G734">
        <f t="shared" si="86"/>
        <v>0</v>
      </c>
    </row>
    <row r="735" spans="1:10" x14ac:dyDescent="0.25">
      <c r="A735" s="3" t="s">
        <v>30</v>
      </c>
      <c r="B735" s="3" t="s">
        <v>18</v>
      </c>
      <c r="C735" t="s">
        <v>221</v>
      </c>
      <c r="D735" s="4">
        <v>110</v>
      </c>
      <c r="G735">
        <f t="shared" si="86"/>
        <v>0</v>
      </c>
    </row>
    <row r="736" spans="1:10" s="27" customFormat="1" x14ac:dyDescent="0.25">
      <c r="A736" s="26" t="s">
        <v>30</v>
      </c>
      <c r="B736" s="26" t="s">
        <v>19</v>
      </c>
      <c r="C736" s="27" t="s">
        <v>222</v>
      </c>
      <c r="D736" s="28">
        <v>1</v>
      </c>
      <c r="E736" s="29"/>
      <c r="G736" s="27">
        <f t="shared" si="86"/>
        <v>0</v>
      </c>
      <c r="H736" s="30">
        <f>+SUM(E736:E744)</f>
        <v>0</v>
      </c>
      <c r="I736" s="27">
        <f>+SUM(G736:G744)</f>
        <v>0</v>
      </c>
      <c r="J736" s="27" t="b">
        <f>+I736=F736</f>
        <v>1</v>
      </c>
    </row>
    <row r="737" spans="1:10" x14ac:dyDescent="0.25">
      <c r="A737" s="3" t="s">
        <v>30</v>
      </c>
      <c r="B737" s="3" t="s">
        <v>19</v>
      </c>
      <c r="C737" t="s">
        <v>223</v>
      </c>
      <c r="D737" s="4">
        <v>650</v>
      </c>
      <c r="G737">
        <f t="shared" si="86"/>
        <v>0</v>
      </c>
    </row>
    <row r="738" spans="1:10" x14ac:dyDescent="0.25">
      <c r="A738" s="3" t="s">
        <v>30</v>
      </c>
      <c r="B738" s="3" t="s">
        <v>19</v>
      </c>
      <c r="C738" t="s">
        <v>19</v>
      </c>
      <c r="D738" s="4">
        <v>180</v>
      </c>
      <c r="G738">
        <f t="shared" si="86"/>
        <v>0</v>
      </c>
    </row>
    <row r="739" spans="1:10" s="27" customFormat="1" x14ac:dyDescent="0.25">
      <c r="A739" s="26" t="s">
        <v>30</v>
      </c>
      <c r="B739" s="26" t="s">
        <v>20</v>
      </c>
      <c r="C739" s="27" t="s">
        <v>224</v>
      </c>
      <c r="D739" s="28">
        <v>110</v>
      </c>
      <c r="E739" s="29"/>
      <c r="G739" s="27">
        <f t="shared" si="86"/>
        <v>0</v>
      </c>
      <c r="H739" s="30">
        <f>+SUM(E739:E747)</f>
        <v>0</v>
      </c>
      <c r="I739" s="27">
        <f>+SUM(G739:G747)</f>
        <v>0</v>
      </c>
      <c r="J739" s="27" t="b">
        <f>+I739=F739</f>
        <v>1</v>
      </c>
    </row>
    <row r="740" spans="1:10" x14ac:dyDescent="0.25">
      <c r="A740" s="3" t="s">
        <v>30</v>
      </c>
      <c r="B740" s="3" t="s">
        <v>20</v>
      </c>
      <c r="C740" t="s">
        <v>225</v>
      </c>
      <c r="D740" s="4">
        <v>1699</v>
      </c>
      <c r="G740">
        <f t="shared" si="86"/>
        <v>0</v>
      </c>
    </row>
    <row r="741" spans="1:10" s="27" customFormat="1" x14ac:dyDescent="0.25">
      <c r="A741" s="26" t="s">
        <v>30</v>
      </c>
      <c r="B741" s="26" t="s">
        <v>21</v>
      </c>
      <c r="C741" s="27" t="s">
        <v>229</v>
      </c>
      <c r="D741" s="28">
        <v>908</v>
      </c>
      <c r="E741" s="29"/>
      <c r="G741" s="27">
        <f t="shared" si="86"/>
        <v>0</v>
      </c>
      <c r="H741" s="30">
        <f>+SUM(E741:E749)</f>
        <v>0</v>
      </c>
      <c r="I741" s="27">
        <f>+SUM(G741:G749)</f>
        <v>0</v>
      </c>
      <c r="J741" s="27" t="b">
        <f>+I741=F741</f>
        <v>1</v>
      </c>
    </row>
    <row r="742" spans="1:10" x14ac:dyDescent="0.25">
      <c r="A742" s="3" t="s">
        <v>30</v>
      </c>
      <c r="B742" s="3" t="s">
        <v>21</v>
      </c>
      <c r="C742" t="s">
        <v>231</v>
      </c>
      <c r="D742" s="4">
        <v>80</v>
      </c>
      <c r="G742">
        <f t="shared" si="86"/>
        <v>0</v>
      </c>
    </row>
    <row r="743" spans="1:10" s="27" customFormat="1" x14ac:dyDescent="0.25">
      <c r="A743" s="26" t="s">
        <v>30</v>
      </c>
      <c r="B743" s="26" t="s">
        <v>22</v>
      </c>
      <c r="C743" s="27" t="s">
        <v>232</v>
      </c>
      <c r="D743" s="28">
        <v>1513</v>
      </c>
      <c r="E743" s="29"/>
      <c r="G743" s="27">
        <f t="shared" si="86"/>
        <v>0</v>
      </c>
      <c r="H743" s="30">
        <f>+SUM(E743:E751)</f>
        <v>0</v>
      </c>
      <c r="I743" s="27">
        <f>+SUM(G743:G751)</f>
        <v>0</v>
      </c>
      <c r="J743" s="27" t="b">
        <f>+I743=F743</f>
        <v>1</v>
      </c>
    </row>
    <row r="744" spans="1:10" x14ac:dyDescent="0.25">
      <c r="A744" s="3" t="s">
        <v>30</v>
      </c>
      <c r="B744" s="3" t="s">
        <v>22</v>
      </c>
      <c r="C744" t="s">
        <v>259</v>
      </c>
      <c r="D744" s="4">
        <v>80</v>
      </c>
      <c r="G744">
        <f t="shared" si="86"/>
        <v>0</v>
      </c>
    </row>
    <row r="745" spans="1:10" x14ac:dyDescent="0.25">
      <c r="A745" s="3" t="s">
        <v>30</v>
      </c>
      <c r="B745" s="3" t="s">
        <v>22</v>
      </c>
      <c r="C745" t="s">
        <v>237</v>
      </c>
      <c r="D745" s="4">
        <v>80</v>
      </c>
      <c r="G745">
        <f t="shared" si="86"/>
        <v>0</v>
      </c>
    </row>
    <row r="746" spans="1:10" s="27" customFormat="1" x14ac:dyDescent="0.25">
      <c r="A746" s="26" t="s">
        <v>30</v>
      </c>
      <c r="B746" s="26" t="s">
        <v>23</v>
      </c>
      <c r="C746" s="27" t="s">
        <v>247</v>
      </c>
      <c r="D746" s="28">
        <v>160</v>
      </c>
      <c r="E746" s="29"/>
      <c r="G746" s="27">
        <f t="shared" si="86"/>
        <v>0</v>
      </c>
      <c r="H746" s="30">
        <f>+SUM(E746:E754)</f>
        <v>0</v>
      </c>
      <c r="I746" s="27">
        <f>+SUM(G746:G754)</f>
        <v>0</v>
      </c>
      <c r="J746" s="27" t="b">
        <f>+I746=F746</f>
        <v>1</v>
      </c>
    </row>
    <row r="747" spans="1:10" x14ac:dyDescent="0.25">
      <c r="A747" s="5" t="s">
        <v>30</v>
      </c>
      <c r="B747" s="3" t="s">
        <v>23</v>
      </c>
      <c r="C747" t="s">
        <v>248</v>
      </c>
      <c r="D747" s="4">
        <v>74</v>
      </c>
      <c r="G747">
        <f t="shared" si="86"/>
        <v>0</v>
      </c>
    </row>
  </sheetData>
  <autoFilter ref="A1:J7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provincial</vt:lpstr>
      <vt:lpstr>provincial (2025)</vt:lpstr>
      <vt:lpstr>Hoja1 (2)</vt:lpstr>
      <vt:lpstr>calculos 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Elizabeth Flores Rodriguez</dc:creator>
  <cp:lastModifiedBy>Tania Lissette Pozo Coral</cp:lastModifiedBy>
  <dcterms:created xsi:type="dcterms:W3CDTF">2024-03-28T21:21:52Z</dcterms:created>
  <dcterms:modified xsi:type="dcterms:W3CDTF">2026-10-16T17:01:22Z</dcterms:modified>
</cp:coreProperties>
</file>