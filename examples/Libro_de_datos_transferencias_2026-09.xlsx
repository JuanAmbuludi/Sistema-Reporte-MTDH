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25200" windowHeight="15600"/>
  </bookViews>
  <sheets>
    <sheet name="Resumen" sheetId="1" r:id="rId1"/>
    <sheet name="Programas" sheetId="2" r:id="rId2"/>
    <sheet name="Provincias" sheetId="3" r:id="rId3"/>
    <sheet name="Detalle" sheetId="4" r:id="rId4"/>
    <sheet name="Ficha técnica" sheetId="5" r:id="rId5"/>
  </sheets>
  <definedNames>
    <definedName name="_xlnm._FilterDatabase" localSheetId="3" hidden="1">Detalle!$B$9:$I$209</definedName>
    <definedName name="_xlnm._FilterDatabase" localSheetId="2" hidden="1">Provincias!$B$36:$I$61</definedName>
    <definedName name="_xlnm.Print_Area" localSheetId="0">Resumen!$A$1:$N$41</definedName>
    <definedName name="_xlnm.Print_Titles" localSheetId="3">Detalle!$9:$9</definedName>
  </definedNames>
  <calcPr calcId="124519" fullCalcOnLoad="1"/>
</workbook>
</file>

<file path=xl/sharedStrings.xml><?xml version="1.0" encoding="utf-8"?>
<sst xmlns="http://schemas.openxmlformats.org/spreadsheetml/2006/main" count="1000" uniqueCount="143">
  <si>
    <t>Transferencias monetarias</t>
  </si>
  <si>
    <t>Septiembre 2026 · Nacional · Todos los programas</t>
  </si>
  <si>
    <t>Cifras clave</t>
  </si>
  <si>
    <t>Septiembre 2026</t>
  </si>
  <si>
    <t>Beneficiarios</t>
  </si>
  <si>
    <t>Programas con beneficiarios</t>
  </si>
  <si>
    <t>De 8 programas</t>
  </si>
  <si>
    <t>Presupuesto 2026</t>
  </si>
  <si>
    <t>Presupuesto acumulado 2023–2026</t>
  </si>
  <si>
    <t>Resultados por programa</t>
  </si>
  <si>
    <t>Beneficiarios por provincia</t>
  </si>
  <si>
    <t>Programa</t>
  </si>
  <si>
    <t>Participación</t>
  </si>
  <si>
    <t>Presupuesto 2026 (millones de USD)</t>
  </si>
  <si>
    <t>Bono de Desarrollo Humano</t>
  </si>
  <si>
    <t>BDH con componente variable</t>
  </si>
  <si>
    <t>Pensión Mis Mejores Años</t>
  </si>
  <si>
    <t>Bono 1.000 Días</t>
  </si>
  <si>
    <t>Pensión Toda Una Vida</t>
  </si>
  <si>
    <t>Bono Joaquín Gallegos Lara</t>
  </si>
  <si>
    <t>Pensión Adultos Mayores</t>
  </si>
  <si>
    <t>Pensión Discapacidad</t>
  </si>
  <si>
    <t>Total de la selección</t>
  </si>
  <si>
    <t>Aspectos destacados</t>
  </si>
  <si>
    <t>Bono de Desarrollo Humano concentra el 39,2 % de los beneficiarios, con 619.073 personas.</t>
  </si>
  <si>
    <t>Guayas, Manabí y Los Ríos reúnen el 41,4 % de los beneficiarios del país.</t>
  </si>
  <si>
    <t>El presupuesto 2026 asciende a USD 1.011,2 millones y el presupuesto acumulado 2023–2026 alcanza USD 3.759,0 millones.</t>
  </si>
  <si>
    <t>Beneficiarios y presupuesto por programa</t>
  </si>
  <si>
    <t>Montos en USD</t>
  </si>
  <si>
    <t>N.º</t>
  </si>
  <si>
    <t>Presupuesto acumulado 2023–2025</t>
  </si>
  <si>
    <t>1</t>
  </si>
  <si>
    <t>2</t>
  </si>
  <si>
    <t>Bono de Desarrollo Humano Variable</t>
  </si>
  <si>
    <t>3</t>
  </si>
  <si>
    <t>4</t>
  </si>
  <si>
    <t>5</t>
  </si>
  <si>
    <t>6</t>
  </si>
  <si>
    <t>7</t>
  </si>
  <si>
    <t>Pensión para Adultos Mayores</t>
  </si>
  <si>
    <t>8</t>
  </si>
  <si>
    <t>Pensión para Personas con Discapacidad</t>
  </si>
  <si>
    <t>Resultados por provincia</t>
  </si>
  <si>
    <t>Beneficiarios · Septiembre 2026 · Todos los programas</t>
  </si>
  <si>
    <t>Posición de cada provincia en el país</t>
  </si>
  <si>
    <t>Posición</t>
  </si>
  <si>
    <t>Código</t>
  </si>
  <si>
    <t>Provincia</t>
  </si>
  <si>
    <t>Región</t>
  </si>
  <si>
    <t>Participación nacional</t>
  </si>
  <si>
    <t>09</t>
  </si>
  <si>
    <t>Guayas</t>
  </si>
  <si>
    <t>Costa</t>
  </si>
  <si>
    <t>13</t>
  </si>
  <si>
    <t>Manabí</t>
  </si>
  <si>
    <t>12</t>
  </si>
  <si>
    <t>Los Ríos</t>
  </si>
  <si>
    <t>17</t>
  </si>
  <si>
    <t>Pichincha</t>
  </si>
  <si>
    <t>Sierra</t>
  </si>
  <si>
    <t>08</t>
  </si>
  <si>
    <t>Esmeraldas</t>
  </si>
  <si>
    <t>06</t>
  </si>
  <si>
    <t>Chimborazo</t>
  </si>
  <si>
    <t>05</t>
  </si>
  <si>
    <t>Cotopaxi</t>
  </si>
  <si>
    <t>11</t>
  </si>
  <si>
    <t>Loja</t>
  </si>
  <si>
    <t>10</t>
  </si>
  <si>
    <t>Imbabura</t>
  </si>
  <si>
    <t>01</t>
  </si>
  <si>
    <t>Azuay</t>
  </si>
  <si>
    <t>24</t>
  </si>
  <si>
    <t>Santa Elena</t>
  </si>
  <si>
    <t>18</t>
  </si>
  <si>
    <t>Tungurahua</t>
  </si>
  <si>
    <t>07</t>
  </si>
  <si>
    <t>El Oro</t>
  </si>
  <si>
    <t>23</t>
  </si>
  <si>
    <t>Santo Domingo de los Tsáchilas</t>
  </si>
  <si>
    <t>02</t>
  </si>
  <si>
    <t>Bolívar</t>
  </si>
  <si>
    <t>14</t>
  </si>
  <si>
    <t>Morona Santiago</t>
  </si>
  <si>
    <t>Amazonía</t>
  </si>
  <si>
    <t>21</t>
  </si>
  <si>
    <t>Sucumbíos</t>
  </si>
  <si>
    <t>03</t>
  </si>
  <si>
    <t>Cañar</t>
  </si>
  <si>
    <t>22</t>
  </si>
  <si>
    <t>Orellana</t>
  </si>
  <si>
    <t>04</t>
  </si>
  <si>
    <t>Carchi</t>
  </si>
  <si>
    <t>15</t>
  </si>
  <si>
    <t>Napo</t>
  </si>
  <si>
    <t>16</t>
  </si>
  <si>
    <t>Pastaza</t>
  </si>
  <si>
    <t>19</t>
  </si>
  <si>
    <t>Zamora Chinchipe</t>
  </si>
  <si>
    <t>—</t>
  </si>
  <si>
    <t>90</t>
  </si>
  <si>
    <t>Zona en estudio</t>
  </si>
  <si>
    <t>Sin delimitar</t>
  </si>
  <si>
    <t>20</t>
  </si>
  <si>
    <t>Galápagos</t>
  </si>
  <si>
    <t>Insular</t>
  </si>
  <si>
    <t>Total nacional</t>
  </si>
  <si>
    <t>Detalle por programa y provincia</t>
  </si>
  <si>
    <t>Total de las filas visibles</t>
  </si>
  <si>
    <t>Ficha técnica</t>
  </si>
  <si>
    <t>Identificación</t>
  </si>
  <si>
    <t>Elemento</t>
  </si>
  <si>
    <t>Descripción</t>
  </si>
  <si>
    <t>Institución</t>
  </si>
  <si>
    <t>Ministerio de Trabajo y Desarrollo Humano</t>
  </si>
  <si>
    <t>Producto</t>
  </si>
  <si>
    <t>Libro de datos de InfoReportes</t>
  </si>
  <si>
    <t>Ámbito</t>
  </si>
  <si>
    <t>Periodo</t>
  </si>
  <si>
    <t>Territorio</t>
  </si>
  <si>
    <t>Nacional</t>
  </si>
  <si>
    <t>Programas</t>
  </si>
  <si>
    <t>Todos los programas</t>
  </si>
  <si>
    <t>Fecha de generación</t>
  </si>
  <si>
    <t>22 de octubre de 2026</t>
  </si>
  <si>
    <t>Unidad monetaria</t>
  </si>
  <si>
    <t>Dólares de los Estados Unidos (USD)</t>
  </si>
  <si>
    <t>Indicadores</t>
  </si>
  <si>
    <t>Indicador</t>
  </si>
  <si>
    <t>Definición</t>
  </si>
  <si>
    <t>Número de personas registradas como beneficiarias de cada bono o pensión en el periodo.</t>
  </si>
  <si>
    <t>Presupuesto asignado en 2026 a cada programa, en dólares de los Estados Unidos.</t>
  </si>
  <si>
    <t>Suma de los presupuestos asignados en 2023–2025, en dólares de los Estados Unidos.</t>
  </si>
  <si>
    <t>Suma de los presupuestos asignados de 2023 a 2026; incluye el presupuesto 2026.</t>
  </si>
  <si>
    <t>Contenido del libro</t>
  </si>
  <si>
    <t>Resumen</t>
  </si>
  <si>
    <t>Cifras clave, resultados por programa, mapa y aspectos destacados</t>
  </si>
  <si>
    <t>Beneficiarios, participación y presupuesto por programa</t>
  </si>
  <si>
    <t>Provincias</t>
  </si>
  <si>
    <t>Mapa y posición de cada provincia en el país</t>
  </si>
  <si>
    <t>Detalle</t>
  </si>
  <si>
    <t>Cada programa en cada provincia, con filtros y totales que se recalculan</t>
  </si>
  <si>
    <t>Identificación del producto y definiciones</t>
  </si>
</sst>
</file>

<file path=xl/styles.xml><?xml version="1.0" encoding="utf-8"?>
<styleSheet xmlns="http://schemas.openxmlformats.org/spreadsheetml/2006/main">
  <numFmts count="5">
    <numFmt numFmtId="164" formatCode="#,##0"/>
    <numFmt numFmtId="165" formatCode="&quot;USD &quot;#,##0.0,,&quot; M&quot;"/>
    <numFmt numFmtId="166" formatCode="0.0%"/>
    <numFmt numFmtId="167" formatCode="#,##0.00,,"/>
    <numFmt numFmtId="168" formatCode="#,##0.00"/>
  </numFmts>
  <fonts count="18">
    <font>
      <sz val="11"/>
      <color theme="1"/>
      <name val="Calibri"/>
      <family val="2"/>
      <scheme val="minor"/>
    </font>
    <font>
      <sz val="10.5"/>
      <color rgb="FF20202B"/>
      <name val="Calibri"/>
      <family val="2"/>
      <scheme val="minor"/>
    </font>
    <font>
      <b/>
      <sz val="20"/>
      <color rgb="FFFFFFFF"/>
      <name val="Century Gothic"/>
      <family val="2"/>
    </font>
    <font>
      <sz val="10"/>
      <color rgb="FFE4DBF3"/>
      <name val="Calibri"/>
      <family val="2"/>
      <scheme val="minor"/>
    </font>
    <font>
      <b/>
      <sz val="13"/>
      <color rgb="FF2B164F"/>
      <name val="Century Gothic"/>
      <family val="2"/>
    </font>
    <font>
      <i/>
      <sz val="9"/>
      <color rgb="FF6E6880"/>
      <name val="Calibri"/>
      <family val="2"/>
      <scheme val="minor"/>
    </font>
    <font>
      <b/>
      <sz val="9.5"/>
      <color rgb="FF5A5765"/>
      <name val="Calibri"/>
      <family val="2"/>
      <scheme val="minor"/>
    </font>
    <font>
      <b/>
      <sz val="22"/>
      <color rgb="FF2B164F"/>
      <name val="Century Gothic"/>
      <family val="2"/>
    </font>
    <font>
      <sz val="9"/>
      <color rgb="FF6E6880"/>
      <name val="Calibri"/>
      <family val="2"/>
      <scheme val="minor"/>
    </font>
    <font>
      <b/>
      <sz val="9"/>
      <color rgb="FFFFFFFF"/>
      <name val="Century Gothic"/>
      <family val="2"/>
    </font>
    <font>
      <b/>
      <sz val="10.5"/>
      <color rgb="FF2B164F"/>
      <name val="Calibri"/>
      <family val="2"/>
      <scheme val="minor"/>
    </font>
    <font>
      <sz val="10.5"/>
      <color rgb="FF20202B"/>
      <name val="Calibri"/>
      <family val="2"/>
      <scheme val="minor"/>
    </font>
    <font>
      <b/>
      <sz val="10.5"/>
      <color rgb="FF20202B"/>
      <name val="Calibri"/>
      <family val="2"/>
      <scheme val="minor"/>
    </font>
    <font>
      <sz val="10.5"/>
      <color rgb="FF6E6880"/>
      <name val="Calibri"/>
      <family val="2"/>
      <scheme val="minor"/>
    </font>
    <font>
      <sz val="10.5"/>
      <color rgb="FF2B164F"/>
      <name val="Calibri"/>
      <family val="2"/>
      <scheme val="minor"/>
    </font>
    <font>
      <b/>
      <sz val="17"/>
      <color rgb="FFFFFFFF"/>
      <name val="Century Gothic"/>
      <family val="2"/>
    </font>
    <font>
      <b/>
      <sz val="10.5"/>
      <color rgb="FF512F8D"/>
      <name val="Century Gothic"/>
      <family val="2"/>
    </font>
    <font>
      <sz val="10"/>
      <color rgb="FF5A5765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512F8D"/>
        <bgColor indexed="64"/>
      </patternFill>
    </fill>
    <fill>
      <patternFill patternType="solid">
        <fgColor rgb="FFF8C018"/>
        <bgColor indexed="64"/>
      </patternFill>
    </fill>
    <fill>
      <patternFill patternType="solid">
        <fgColor rgb="FFF7F5F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BE5F3"/>
        <bgColor indexed="64"/>
      </patternFill>
    </fill>
    <fill>
      <patternFill patternType="solid">
        <fgColor rgb="FFF1EDF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medium">
        <color rgb="FFC1B4EC"/>
      </bottom>
      <diagonal/>
    </border>
    <border>
      <left/>
      <right/>
      <top style="thick">
        <color rgb="FF512F8D"/>
      </top>
      <bottom/>
      <diagonal/>
    </border>
    <border>
      <left/>
      <right/>
      <top style="thick">
        <color rgb="FF7657B9"/>
      </top>
      <bottom/>
      <diagonal/>
    </border>
    <border>
      <left/>
      <right/>
      <top style="thick">
        <color rgb="FFF8C018"/>
      </top>
      <bottom/>
      <diagonal/>
    </border>
    <border>
      <left/>
      <right/>
      <top style="thick">
        <color rgb="FFC33F8D"/>
      </top>
      <bottom/>
      <diagonal/>
    </border>
    <border>
      <left style="thin">
        <color rgb="FF7458AE"/>
      </left>
      <right/>
      <top/>
      <bottom/>
      <diagonal/>
    </border>
    <border>
      <left/>
      <right/>
      <top/>
      <bottom style="hair">
        <color rgb="FFE7E2EF"/>
      </bottom>
      <diagonal/>
    </border>
    <border>
      <left/>
      <right/>
      <top style="medium">
        <color rgb="FF512F8D"/>
      </top>
      <bottom/>
      <diagonal/>
    </border>
    <border>
      <left/>
      <right/>
      <top style="medium">
        <color rgb="FF512F8D"/>
      </top>
      <bottom style="hair">
        <color rgb="FFE7E2EF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4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5" fillId="0" borderId="1" xfId="0" applyFont="1" applyBorder="1" applyAlignment="1">
      <alignment horizontal="right" vertical="center"/>
    </xf>
    <xf numFmtId="0" fontId="6" fillId="4" borderId="2" xfId="0" applyFont="1" applyFill="1" applyBorder="1" applyAlignment="1">
      <alignment horizontal="left" vertical="center" indent="1" wrapText="1"/>
    </xf>
    <xf numFmtId="0" fontId="6" fillId="4" borderId="3" xfId="0" applyFont="1" applyFill="1" applyBorder="1" applyAlignment="1">
      <alignment horizontal="left" vertical="center" indent="1" wrapText="1"/>
    </xf>
    <xf numFmtId="0" fontId="6" fillId="4" borderId="4" xfId="0" applyFont="1" applyFill="1" applyBorder="1" applyAlignment="1">
      <alignment horizontal="left" vertical="center" indent="1" wrapText="1"/>
    </xf>
    <xf numFmtId="0" fontId="6" fillId="4" borderId="5" xfId="0" applyFont="1" applyFill="1" applyBorder="1" applyAlignment="1">
      <alignment horizontal="left" vertical="center" indent="1" wrapText="1"/>
    </xf>
    <xf numFmtId="164" fontId="7" fillId="4" borderId="0" xfId="0" applyNumberFormat="1" applyFont="1" applyFill="1" applyAlignment="1">
      <alignment horizontal="left" vertical="center" indent="1" shrinkToFit="1"/>
    </xf>
    <xf numFmtId="0" fontId="1" fillId="4" borderId="0" xfId="0" applyFont="1" applyFill="1" applyAlignment="1">
      <alignment vertical="center"/>
    </xf>
    <xf numFmtId="165" fontId="7" fillId="4" borderId="0" xfId="0" applyNumberFormat="1" applyFont="1" applyFill="1" applyAlignment="1">
      <alignment horizontal="left" vertical="center" indent="1" shrinkToFit="1"/>
    </xf>
    <xf numFmtId="0" fontId="8" fillId="4" borderId="0" xfId="0" applyFont="1" applyFill="1" applyAlignment="1">
      <alignment vertical="top" indent="1" wrapText="1"/>
    </xf>
    <xf numFmtId="0" fontId="9" fillId="2" borderId="0" xfId="0" applyFont="1" applyFill="1" applyAlignment="1">
      <alignment horizontal="left" vertical="center" indent="1" wrapText="1"/>
    </xf>
    <xf numFmtId="0" fontId="9" fillId="2" borderId="6" xfId="0" applyFont="1" applyFill="1" applyBorder="1" applyAlignment="1">
      <alignment horizontal="right" vertical="center" wrapText="1"/>
    </xf>
    <xf numFmtId="0" fontId="10" fillId="5" borderId="7" xfId="0" applyFont="1" applyFill="1" applyBorder="1" applyAlignment="1">
      <alignment horizontal="left" vertical="center" indent="1" wrapText="1"/>
    </xf>
    <xf numFmtId="164" fontId="11" fillId="5" borderId="7" xfId="0" applyNumberFormat="1" applyFont="1" applyFill="1" applyBorder="1" applyAlignment="1">
      <alignment horizontal="right" vertical="center"/>
    </xf>
    <xf numFmtId="166" fontId="11" fillId="5" borderId="7" xfId="0" applyNumberFormat="1" applyFont="1" applyFill="1" applyBorder="1" applyAlignment="1">
      <alignment horizontal="right" vertical="center"/>
    </xf>
    <xf numFmtId="167" fontId="11" fillId="5" borderId="7" xfId="0" applyNumberFormat="1" applyFont="1" applyFill="1" applyBorder="1" applyAlignment="1">
      <alignment horizontal="right" vertical="center"/>
    </xf>
    <xf numFmtId="0" fontId="10" fillId="4" borderId="7" xfId="0" applyFont="1" applyFill="1" applyBorder="1" applyAlignment="1">
      <alignment horizontal="left" vertical="center" indent="1" wrapText="1"/>
    </xf>
    <xf numFmtId="164" fontId="11" fillId="4" borderId="7" xfId="0" applyNumberFormat="1" applyFont="1" applyFill="1" applyBorder="1" applyAlignment="1">
      <alignment horizontal="right" vertical="center"/>
    </xf>
    <xf numFmtId="166" fontId="11" fillId="4" borderId="7" xfId="0" applyNumberFormat="1" applyFont="1" applyFill="1" applyBorder="1" applyAlignment="1">
      <alignment horizontal="right" vertical="center"/>
    </xf>
    <xf numFmtId="167" fontId="11" fillId="4" borderId="7" xfId="0" applyNumberFormat="1" applyFont="1" applyFill="1" applyBorder="1" applyAlignment="1">
      <alignment horizontal="right" vertical="center"/>
    </xf>
    <xf numFmtId="0" fontId="10" fillId="6" borderId="8" xfId="0" applyFont="1" applyFill="1" applyBorder="1" applyAlignment="1">
      <alignment horizontal="left" vertical="center" indent="1"/>
    </xf>
    <xf numFmtId="164" fontId="12" fillId="6" borderId="9" xfId="0" applyNumberFormat="1" applyFont="1" applyFill="1" applyBorder="1" applyAlignment="1">
      <alignment horizontal="right" vertical="center"/>
    </xf>
    <xf numFmtId="166" fontId="12" fillId="6" borderId="9" xfId="0" applyNumberFormat="1" applyFont="1" applyFill="1" applyBorder="1" applyAlignment="1">
      <alignment horizontal="right" vertical="center"/>
    </xf>
    <xf numFmtId="167" fontId="12" fillId="6" borderId="9" xfId="0" applyNumberFormat="1" applyFont="1" applyFill="1" applyBorder="1" applyAlignment="1">
      <alignment horizontal="right" vertical="center"/>
    </xf>
    <xf numFmtId="0" fontId="1" fillId="7" borderId="0" xfId="0" applyFont="1" applyFill="1" applyAlignment="1">
      <alignment vertical="center"/>
    </xf>
    <xf numFmtId="0" fontId="1" fillId="7" borderId="0" xfId="0" applyFont="1" applyFill="1" applyAlignment="1">
      <alignment horizontal="left" vertical="center" indent="1" wrapText="1"/>
    </xf>
    <xf numFmtId="0" fontId="9" fillId="2" borderId="0" xfId="0" applyFont="1" applyFill="1" applyAlignment="1">
      <alignment horizontal="center" vertical="center" wrapText="1"/>
    </xf>
    <xf numFmtId="0" fontId="9" fillId="2" borderId="6" xfId="0" applyFont="1" applyFill="1" applyBorder="1" applyAlignment="1">
      <alignment horizontal="left" vertical="center" indent="1" wrapText="1"/>
    </xf>
    <xf numFmtId="0" fontId="13" fillId="5" borderId="7" xfId="0" applyFont="1" applyFill="1" applyBorder="1" applyAlignment="1">
      <alignment horizontal="center" vertical="center"/>
    </xf>
    <xf numFmtId="168" fontId="11" fillId="5" borderId="7" xfId="0" applyNumberFormat="1" applyFont="1" applyFill="1" applyBorder="1" applyAlignment="1">
      <alignment horizontal="right" vertical="center"/>
    </xf>
    <xf numFmtId="0" fontId="13" fillId="4" borderId="7" xfId="0" applyFont="1" applyFill="1" applyBorder="1" applyAlignment="1">
      <alignment horizontal="center" vertical="center"/>
    </xf>
    <xf numFmtId="168" fontId="11" fillId="4" borderId="7" xfId="0" applyNumberFormat="1" applyFont="1" applyFill="1" applyBorder="1" applyAlignment="1">
      <alignment horizontal="right" vertical="center"/>
    </xf>
    <xf numFmtId="0" fontId="1" fillId="6" borderId="8" xfId="0" applyFont="1" applyFill="1" applyBorder="1" applyAlignment="1">
      <alignment vertical="center"/>
    </xf>
    <xf numFmtId="168" fontId="12" fillId="6" borderId="9" xfId="0" applyNumberFormat="1" applyFont="1" applyFill="1" applyBorder="1" applyAlignment="1">
      <alignment horizontal="right" vertical="center"/>
    </xf>
    <xf numFmtId="0" fontId="9" fillId="2" borderId="6" xfId="0" applyFont="1" applyFill="1" applyBorder="1" applyAlignment="1">
      <alignment horizontal="center" vertical="center" wrapText="1"/>
    </xf>
    <xf numFmtId="0" fontId="14" fillId="5" borderId="7" xfId="0" applyFont="1" applyFill="1" applyBorder="1" applyAlignment="1">
      <alignment horizontal="center" vertical="center"/>
    </xf>
    <xf numFmtId="0" fontId="13" fillId="5" borderId="7" xfId="0" applyFont="1" applyFill="1" applyBorder="1" applyAlignment="1">
      <alignment horizontal="left" vertical="center" indent="1"/>
    </xf>
    <xf numFmtId="0" fontId="14" fillId="4" borderId="7" xfId="0" applyFont="1" applyFill="1" applyBorder="1" applyAlignment="1">
      <alignment horizontal="center" vertical="center"/>
    </xf>
    <xf numFmtId="0" fontId="13" fillId="4" borderId="7" xfId="0" applyFont="1" applyFill="1" applyBorder="1" applyAlignment="1">
      <alignment horizontal="left" vertical="center" indent="1"/>
    </xf>
    <xf numFmtId="0" fontId="15" fillId="2" borderId="0" xfId="0" applyFont="1" applyFill="1" applyAlignment="1">
      <alignment vertical="center"/>
    </xf>
    <xf numFmtId="0" fontId="1" fillId="5" borderId="7" xfId="0" applyFont="1" applyFill="1" applyBorder="1" applyAlignment="1">
      <alignment horizontal="left" vertical="center" indent="1" wrapText="1"/>
    </xf>
    <xf numFmtId="0" fontId="1" fillId="4" borderId="7" xfId="0" applyFont="1" applyFill="1" applyBorder="1" applyAlignment="1">
      <alignment horizontal="left" vertical="center" indent="1" wrapText="1"/>
    </xf>
    <xf numFmtId="0" fontId="16" fillId="0" borderId="7" xfId="0" applyFont="1" applyBorder="1" applyAlignment="1">
      <alignment horizontal="left" vertical="center" indent="1"/>
    </xf>
    <xf numFmtId="0" fontId="17" fillId="0" borderId="7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1" baseline="0">
                <a:solidFill>
                  <a:srgbClr val="2B164F"/>
                </a:solidFill>
                <a:latin typeface="Century Gothic"/>
              </a:defRPr>
            </a:pPr>
            <a:r>
              <a:rPr lang="en-US" sz="1100" b="1" baseline="0">
                <a:solidFill>
                  <a:srgbClr val="2B164F"/>
                </a:solidFill>
                <a:latin typeface="Century Gothic"/>
              </a:rPr>
              <a:t>Beneficiarios por programa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Beneficiarios por programa</c:v>
          </c:tx>
          <c:spPr>
            <a:solidFill>
              <a:srgbClr val="5A369A"/>
            </a:solidFill>
            <a:ln>
              <a:noFill/>
            </a:ln>
          </c:spPr>
          <c:dLbls>
            <c:numFmt formatCode="#,##0" sourceLinked="0"/>
            <c:txPr>
              <a:bodyPr/>
              <a:lstStyle/>
              <a:p>
                <a:pPr>
                  <a:defRPr sz="900" baseline="0">
                    <a:solidFill>
                      <a:srgbClr val="20202B"/>
                    </a:solidFill>
                    <a:latin typeface="Calibri"/>
                  </a:defRPr>
                </a:pPr>
                <a:endParaRPr lang="en-US"/>
              </a:p>
            </c:txPr>
            <c:showVal val="1"/>
          </c:dLbls>
          <c:cat>
            <c:strRef>
              <c:f>Programas!$C$9:$C$16</c:f>
              <c:strCache>
                <c:ptCount val="8"/>
                <c:pt idx="0">
                  <c:v>Bono de Desarrollo Humano</c:v>
                </c:pt>
                <c:pt idx="1">
                  <c:v>Bono de Desarrollo Humano Variable</c:v>
                </c:pt>
                <c:pt idx="2">
                  <c:v>Pensión Mis Mejores Años</c:v>
                </c:pt>
                <c:pt idx="3">
                  <c:v>Bono 1.000 Días</c:v>
                </c:pt>
                <c:pt idx="4">
                  <c:v>Pensión Toda Una Vida</c:v>
                </c:pt>
                <c:pt idx="5">
                  <c:v>Bono Joaquín Gallegos Lara</c:v>
                </c:pt>
                <c:pt idx="6">
                  <c:v>Pensión para Adultos Mayores</c:v>
                </c:pt>
                <c:pt idx="7">
                  <c:v>Pensión para Personas con Discapacidad</c:v>
                </c:pt>
              </c:strCache>
            </c:strRef>
          </c:cat>
          <c:val>
            <c:numRef>
              <c:f>Programas!$D$9:$D$16</c:f>
              <c:numCache>
                <c:formatCode>General</c:formatCode>
                <c:ptCount val="8"/>
                <c:pt idx="0">
                  <c:v>619073</c:v>
                </c:pt>
                <c:pt idx="1">
                  <c:v>367289</c:v>
                </c:pt>
                <c:pt idx="2">
                  <c:v>303845</c:v>
                </c:pt>
                <c:pt idx="3">
                  <c:v>164983</c:v>
                </c:pt>
                <c:pt idx="4">
                  <c:v>72700</c:v>
                </c:pt>
                <c:pt idx="5">
                  <c:v>50129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gapWidth val="55"/>
        <c:axId val="50010001"/>
        <c:axId val="50010002"/>
      </c:barChart>
      <c:catAx>
        <c:axId val="50010001"/>
        <c:scaling>
          <c:orientation val="maxMin"/>
        </c:scaling>
        <c:axPos val="l"/>
        <c:majorTickMark val="none"/>
        <c:tickLblPos val="nextTo"/>
        <c:spPr>
          <a:ln>
            <a:solidFill>
              <a:srgbClr val="D8D0F4"/>
            </a:solidFill>
          </a:ln>
        </c:spPr>
        <c:txPr>
          <a:bodyPr/>
          <a:lstStyle/>
          <a:p>
            <a:pPr>
              <a:defRPr sz="900" baseline="0">
                <a:solidFill>
                  <a:srgbClr val="20202B"/>
                </a:solidFill>
                <a:latin typeface="Calibri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in val="0"/>
        </c:scaling>
        <c:axPos val="t"/>
        <c:majorGridlines>
          <c:spPr>
            <a:ln w="9525">
              <a:solidFill>
                <a:srgbClr val="EEEAF4"/>
              </a:solidFill>
            </a:ln>
          </c:spPr>
        </c:majorGridlines>
        <c:numFmt formatCode="#,##0" sourceLinked="0"/>
        <c:majorTickMark val="none"/>
        <c:tickLblPos val="none"/>
        <c:spPr>
          <a:ln>
            <a:noFill/>
          </a:ln>
        </c:spPr>
        <c:txPr>
          <a:bodyPr/>
          <a:lstStyle/>
          <a:p>
            <a:pPr>
              <a:defRPr sz="800" baseline="0">
                <a:solidFill>
                  <a:srgbClr val="6E6880"/>
                </a:solidFill>
                <a:latin typeface="Calibri"/>
              </a:defRPr>
            </a:pPr>
            <a:endParaRPr lang="en-US"/>
          </a:p>
        </c:txPr>
        <c:crossAx val="50010001"/>
        <c:crosses val="autoZero"/>
        <c:crossBetween val="between"/>
      </c:valAx>
      <c:spPr>
        <a:noFill/>
        <a:ln>
          <a:noFill/>
        </a:ln>
      </c:spPr>
    </c:plotArea>
    <c:plotVisOnly val="1"/>
  </c:chart>
  <c:spPr>
    <a:solidFill>
      <a:srgbClr val="FFFFFF"/>
    </a:solidFill>
    <a:ln>
      <a:solidFill>
        <a:srgbClr val="E7E2EF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1" baseline="0">
                <a:solidFill>
                  <a:srgbClr val="2B164F"/>
                </a:solidFill>
                <a:latin typeface="Century Gothic"/>
              </a:defRPr>
            </a:pPr>
            <a:r>
              <a:rPr lang="en-US" sz="1100" b="1" baseline="0">
                <a:solidFill>
                  <a:srgbClr val="2B164F"/>
                </a:solidFill>
                <a:latin typeface="Century Gothic"/>
              </a:rPr>
              <a:t>Presupuesto 2026 (millones de USD)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Presupuesto 2026 (millones de USD)</c:v>
          </c:tx>
          <c:spPr>
            <a:solidFill>
              <a:srgbClr val="7657B9"/>
            </a:solidFill>
            <a:ln>
              <a:noFill/>
            </a:ln>
          </c:spPr>
          <c:dLbls>
            <c:numFmt formatCode="#,##0.0,," sourceLinked="0"/>
            <c:txPr>
              <a:bodyPr/>
              <a:lstStyle/>
              <a:p>
                <a:pPr>
                  <a:defRPr sz="900" baseline="0">
                    <a:solidFill>
                      <a:srgbClr val="20202B"/>
                    </a:solidFill>
                    <a:latin typeface="Calibri"/>
                  </a:defRPr>
                </a:pPr>
                <a:endParaRPr lang="en-US"/>
              </a:p>
            </c:txPr>
            <c:showVal val="1"/>
          </c:dLbls>
          <c:cat>
            <c:strRef>
              <c:f>Programas!$C$9:$C$16</c:f>
              <c:strCache>
                <c:ptCount val="8"/>
                <c:pt idx="0">
                  <c:v>Bono de Desarrollo Humano</c:v>
                </c:pt>
                <c:pt idx="1">
                  <c:v>Bono de Desarrollo Humano Variable</c:v>
                </c:pt>
                <c:pt idx="2">
                  <c:v>Pensión Mis Mejores Años</c:v>
                </c:pt>
                <c:pt idx="3">
                  <c:v>Bono 1.000 Días</c:v>
                </c:pt>
                <c:pt idx="4">
                  <c:v>Pensión Toda Una Vida</c:v>
                </c:pt>
                <c:pt idx="5">
                  <c:v>Bono Joaquín Gallegos Lara</c:v>
                </c:pt>
                <c:pt idx="6">
                  <c:v>Pensión para Adultos Mayores</c:v>
                </c:pt>
                <c:pt idx="7">
                  <c:v>Pensión para Personas con Discapacidad</c:v>
                </c:pt>
              </c:strCache>
            </c:strRef>
          </c:cat>
          <c:val>
            <c:numRef>
              <c:f>Programas!$F$9:$F$16</c:f>
              <c:numCache>
                <c:formatCode>General</c:formatCode>
                <c:ptCount val="8"/>
                <c:pt idx="0">
                  <c:v>270240632.487</c:v>
                </c:pt>
                <c:pt idx="1">
                  <c:v>226002165.705</c:v>
                </c:pt>
                <c:pt idx="2">
                  <c:v>259215772.019</c:v>
                </c:pt>
                <c:pt idx="3">
                  <c:v>84688778.48099999</c:v>
                </c:pt>
                <c:pt idx="4">
                  <c:v>64076580.173</c:v>
                </c:pt>
                <c:pt idx="5">
                  <c:v>107025464.122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gapWidth val="55"/>
        <c:axId val="50020001"/>
        <c:axId val="50020002"/>
      </c:barChart>
      <c:catAx>
        <c:axId val="50020001"/>
        <c:scaling>
          <c:orientation val="maxMin"/>
        </c:scaling>
        <c:axPos val="l"/>
        <c:majorTickMark val="none"/>
        <c:tickLblPos val="nextTo"/>
        <c:spPr>
          <a:ln>
            <a:solidFill>
              <a:srgbClr val="D8D0F4"/>
            </a:solidFill>
          </a:ln>
        </c:spPr>
        <c:txPr>
          <a:bodyPr/>
          <a:lstStyle/>
          <a:p>
            <a:pPr>
              <a:defRPr sz="900" baseline="0">
                <a:solidFill>
                  <a:srgbClr val="20202B"/>
                </a:solidFill>
                <a:latin typeface="Calibri"/>
              </a:defRPr>
            </a:pPr>
            <a:endParaRPr lang="en-US"/>
          </a:p>
        </c:txPr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  <c:min val="0"/>
        </c:scaling>
        <c:axPos val="t"/>
        <c:majorGridlines>
          <c:spPr>
            <a:ln w="9525">
              <a:solidFill>
                <a:srgbClr val="EEEAF4"/>
              </a:solidFill>
            </a:ln>
          </c:spPr>
        </c:majorGridlines>
        <c:numFmt formatCode="#,##0.0,," sourceLinked="0"/>
        <c:majorTickMark val="none"/>
        <c:tickLblPos val="none"/>
        <c:spPr>
          <a:ln>
            <a:noFill/>
          </a:ln>
        </c:spPr>
        <c:txPr>
          <a:bodyPr/>
          <a:lstStyle/>
          <a:p>
            <a:pPr>
              <a:defRPr sz="800" baseline="0">
                <a:solidFill>
                  <a:srgbClr val="6E6880"/>
                </a:solidFill>
                <a:latin typeface="Calibri"/>
              </a:defRPr>
            </a:pPr>
            <a:endParaRPr lang="en-US"/>
          </a:p>
        </c:txPr>
        <c:crossAx val="50020001"/>
        <c:crosses val="autoZero"/>
        <c:crossBetween val="between"/>
      </c:valAx>
      <c:spPr>
        <a:noFill/>
        <a:ln>
          <a:noFill/>
        </a:ln>
      </c:spPr>
    </c:plotArea>
    <c:plotVisOnly val="1"/>
  </c:chart>
  <c:spPr>
    <a:solidFill>
      <a:srgbClr val="FFFFFF"/>
    </a:solidFill>
    <a:ln>
      <a:solidFill>
        <a:srgbClr val="E7E2EF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chart" Target="../charts/chart1.xml"/><Relationship Id="rId3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10</xdr:col>
      <xdr:colOff>333375</xdr:colOff>
      <xdr:row>1</xdr:row>
      <xdr:rowOff>19050</xdr:rowOff>
    </xdr:from>
    <xdr:to>
      <xdr:col>12</xdr:col>
      <xdr:colOff>750404</xdr:colOff>
      <xdr:row>1</xdr:row>
      <xdr:rowOff>400050</xdr:rowOff>
    </xdr:to>
    <xdr:pic>
      <xdr:nvPicPr>
        <xdr:cNvPr id="2" name="Picture 1" descr="Gobierno del Ecuador · Ministerio de Trabajo y Desarrollo Human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15350" y="171450"/>
          <a:ext cx="2188679" cy="381000"/>
        </a:xfrm>
        <a:prstGeom prst="rect">
          <a:avLst/>
        </a:prstGeom>
      </xdr:spPr>
    </xdr:pic>
    <xdr:clientData/>
  </xdr:twoCellAnchor>
  <xdr:twoCellAnchor editAs="absolute">
    <xdr:from>
      <xdr:col>8</xdr:col>
      <xdr:colOff>95250</xdr:colOff>
      <xdr:row>14</xdr:row>
      <xdr:rowOff>38100</xdr:rowOff>
    </xdr:from>
    <xdr:to>
      <xdr:col>12</xdr:col>
      <xdr:colOff>742950</xdr:colOff>
      <xdr:row>29</xdr:row>
      <xdr:rowOff>172508</xdr:rowOff>
    </xdr:to>
    <xdr:pic>
      <xdr:nvPicPr>
        <xdr:cNvPr id="3" name="Picture 2" descr="Mapa del Ecuador: beneficiarios por provincia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505575" y="3676650"/>
          <a:ext cx="4191000" cy="3725333"/>
        </a:xfrm>
        <a:prstGeom prst="rect">
          <a:avLst/>
        </a:prstGeom>
      </xdr:spPr>
    </xdr:pic>
    <xdr:clientData/>
  </xdr:twoCellAnchor>
  <xdr:twoCellAnchor editAs="absolute">
    <xdr:from>
      <xdr:col>1</xdr:col>
      <xdr:colOff>285750</xdr:colOff>
      <xdr:row>34</xdr:row>
      <xdr:rowOff>95250</xdr:rowOff>
    </xdr:from>
    <xdr:to>
      <xdr:col>1</xdr:col>
      <xdr:colOff>533400</xdr:colOff>
      <xdr:row>34</xdr:row>
      <xdr:rowOff>342900</xdr:rowOff>
    </xdr:to>
    <xdr:pic>
      <xdr:nvPicPr>
        <xdr:cNvPr id="4" name="Picture 3" descr="icono_award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95300" y="8429625"/>
          <a:ext cx="247650" cy="247650"/>
        </a:xfrm>
        <a:prstGeom prst="rect">
          <a:avLst/>
        </a:prstGeom>
      </xdr:spPr>
    </xdr:pic>
    <xdr:clientData/>
  </xdr:twoCellAnchor>
  <xdr:twoCellAnchor editAs="absolute">
    <xdr:from>
      <xdr:col>1</xdr:col>
      <xdr:colOff>285750</xdr:colOff>
      <xdr:row>36</xdr:row>
      <xdr:rowOff>95250</xdr:rowOff>
    </xdr:from>
    <xdr:to>
      <xdr:col>1</xdr:col>
      <xdr:colOff>533400</xdr:colOff>
      <xdr:row>36</xdr:row>
      <xdr:rowOff>342900</xdr:rowOff>
    </xdr:to>
    <xdr:pic>
      <xdr:nvPicPr>
        <xdr:cNvPr id="5" name="Picture 4" descr="icono_pin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95300" y="8934450"/>
          <a:ext cx="247650" cy="247650"/>
        </a:xfrm>
        <a:prstGeom prst="rect">
          <a:avLst/>
        </a:prstGeom>
      </xdr:spPr>
    </xdr:pic>
    <xdr:clientData/>
  </xdr:twoCellAnchor>
  <xdr:twoCellAnchor editAs="absolute">
    <xdr:from>
      <xdr:col>1</xdr:col>
      <xdr:colOff>285750</xdr:colOff>
      <xdr:row>38</xdr:row>
      <xdr:rowOff>95250</xdr:rowOff>
    </xdr:from>
    <xdr:to>
      <xdr:col>1</xdr:col>
      <xdr:colOff>533400</xdr:colOff>
      <xdr:row>38</xdr:row>
      <xdr:rowOff>342900</xdr:rowOff>
    </xdr:to>
    <xdr:pic>
      <xdr:nvPicPr>
        <xdr:cNvPr id="6" name="Picture 5" descr="icono_trending-up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95300" y="9439275"/>
          <a:ext cx="247650" cy="2476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6</xdr:col>
      <xdr:colOff>704850</xdr:colOff>
      <xdr:row>1</xdr:row>
      <xdr:rowOff>19050</xdr:rowOff>
    </xdr:from>
    <xdr:to>
      <xdr:col>7</xdr:col>
      <xdr:colOff>1379054</xdr:colOff>
      <xdr:row>1</xdr:row>
      <xdr:rowOff>400050</xdr:rowOff>
    </xdr:to>
    <xdr:pic>
      <xdr:nvPicPr>
        <xdr:cNvPr id="2" name="Picture 1" descr="Gobierno del Ecuador · Ministerio de Trabajo y Desarrollo Human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86625" y="171450"/>
          <a:ext cx="2188679" cy="381000"/>
        </a:xfrm>
        <a:prstGeom prst="rect">
          <a:avLst/>
        </a:prstGeom>
      </xdr:spPr>
    </xdr:pic>
    <xdr:clientData/>
  </xdr:twoCellAnchor>
  <xdr:twoCellAnchor editAs="absolute">
    <xdr:from>
      <xdr:col>2</xdr:col>
      <xdr:colOff>0</xdr:colOff>
      <xdr:row>18</xdr:row>
      <xdr:rowOff>95250</xdr:rowOff>
    </xdr:from>
    <xdr:to>
      <xdr:col>5</xdr:col>
      <xdr:colOff>657225</xdr:colOff>
      <xdr:row>35</xdr:row>
      <xdr:rowOff>57150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4</xdr:col>
      <xdr:colOff>381000</xdr:colOff>
      <xdr:row>18</xdr:row>
      <xdr:rowOff>95250</xdr:rowOff>
    </xdr:from>
    <xdr:to>
      <xdr:col>9</xdr:col>
      <xdr:colOff>314325</xdr:colOff>
      <xdr:row>35</xdr:row>
      <xdr:rowOff>57150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7</xdr:col>
      <xdr:colOff>438150</xdr:colOff>
      <xdr:row>1</xdr:row>
      <xdr:rowOff>19050</xdr:rowOff>
    </xdr:from>
    <xdr:to>
      <xdr:col>8</xdr:col>
      <xdr:colOff>1379054</xdr:colOff>
      <xdr:row>1</xdr:row>
      <xdr:rowOff>400050</xdr:rowOff>
    </xdr:to>
    <xdr:pic>
      <xdr:nvPicPr>
        <xdr:cNvPr id="2" name="Picture 1" descr="Gobierno del Ecuador · Ministerio de Trabajo y Desarrollo Human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34175" y="171450"/>
          <a:ext cx="2188679" cy="381000"/>
        </a:xfrm>
        <a:prstGeom prst="rect">
          <a:avLst/>
        </a:prstGeom>
      </xdr:spPr>
    </xdr:pic>
    <xdr:clientData/>
  </xdr:twoCellAnchor>
  <xdr:twoCellAnchor editAs="absolute">
    <xdr:from>
      <xdr:col>2</xdr:col>
      <xdr:colOff>38100</xdr:colOff>
      <xdr:row>8</xdr:row>
      <xdr:rowOff>57150</xdr:rowOff>
    </xdr:from>
    <xdr:to>
      <xdr:col>7</xdr:col>
      <xdr:colOff>314325</xdr:colOff>
      <xdr:row>33</xdr:row>
      <xdr:rowOff>143741</xdr:rowOff>
    </xdr:to>
    <xdr:pic>
      <xdr:nvPicPr>
        <xdr:cNvPr id="3" name="Picture 2" descr="Mapa del Ecuador: beneficiarios por provincia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95350" y="1943100"/>
          <a:ext cx="5715000" cy="484909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7</xdr:col>
      <xdr:colOff>1028700</xdr:colOff>
      <xdr:row>1</xdr:row>
      <xdr:rowOff>19050</xdr:rowOff>
    </xdr:from>
    <xdr:to>
      <xdr:col>8</xdr:col>
      <xdr:colOff>1374602</xdr:colOff>
      <xdr:row>1</xdr:row>
      <xdr:rowOff>342900</xdr:rowOff>
    </xdr:to>
    <xdr:pic>
      <xdr:nvPicPr>
        <xdr:cNvPr id="2" name="Picture 1" descr="Gobierno del Ecuador · Ministerio de Trabajo y Desarrollo Human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00" y="114300"/>
          <a:ext cx="1860377" cy="32385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4124325</xdr:colOff>
      <xdr:row>1</xdr:row>
      <xdr:rowOff>19050</xdr:rowOff>
    </xdr:from>
    <xdr:to>
      <xdr:col>2</xdr:col>
      <xdr:colOff>6313004</xdr:colOff>
      <xdr:row>1</xdr:row>
      <xdr:rowOff>400050</xdr:rowOff>
    </xdr:to>
    <xdr:pic>
      <xdr:nvPicPr>
        <xdr:cNvPr id="2" name="Picture 1" descr="Gobierno del Ecuador · Ministerio de Trabajo y Desarrollo Human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48450" y="171450"/>
          <a:ext cx="2188679" cy="381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MTDH Institucional">
  <a:themeElements>
    <a:clrScheme name="MTDH">
      <a:dk1>
        <a:sysClr val="windowText" lastClr="000000"/>
      </a:dk1>
      <a:lt1>
        <a:sysClr val="window" lastClr="FFFFFF"/>
      </a:lt1>
      <a:dk2>
        <a:srgbClr val="2B164F"/>
      </a:dk2>
      <a:lt2>
        <a:srgbClr val="EBE5F3"/>
      </a:lt2>
      <a:accent1>
        <a:srgbClr val="512F8D"/>
      </a:accent1>
      <a:accent2>
        <a:srgbClr val="C33F8D"/>
      </a:accent2>
      <a:accent3>
        <a:srgbClr val="F8C018"/>
      </a:accent3>
      <a:accent4>
        <a:srgbClr val="7657B9"/>
      </a:accent4>
      <a:accent5>
        <a:srgbClr val="A995E0"/>
      </a:accent5>
      <a:accent6>
        <a:srgbClr val="3D216D"/>
      </a:accent6>
      <a:hlink>
        <a:srgbClr val="512F8D"/>
      </a:hlink>
      <a:folHlink>
        <a:srgbClr val="7657B9"/>
      </a:folHlink>
    </a:clrScheme>
    <a:fontScheme name="Office">
      <a:majorFont>
        <a:latin typeface="Century Gothic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512F8D"/>
    <pageSetUpPr fitToPage="1"/>
  </sheetPr>
  <dimension ref="A1:N40"/>
  <sheetViews>
    <sheetView showGridLines="0" tabSelected="1" zoomScale="90" zoomScaleNormal="90" workbookViewId="0"/>
  </sheetViews>
  <sheetFormatPr defaultRowHeight="15" x14ac:dyDescent="0.25"/>
  <cols>
    <col min="1" max="1" width="3.140625" customWidth="1"/>
    <col min="2" max="13" width="13.28515625" customWidth="1"/>
    <col min="14" max="14" width="3.140625" customWidth="1"/>
  </cols>
  <sheetData>
    <row r="1" spans="1:14" ht="12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40" customHeight="1" x14ac:dyDescent="0.25">
      <c r="A2" s="1"/>
      <c r="B2" s="2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ht="22" customHeight="1" x14ac:dyDescent="0.25">
      <c r="A3" s="1"/>
      <c r="B3" s="3" t="s">
        <v>1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ht="14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ht="5" customHeight="1" x14ac:dyDescent="0.2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</row>
    <row r="7" spans="1:14" ht="27" customHeight="1" x14ac:dyDescent="0.25">
      <c r="B7" s="5" t="s">
        <v>2</v>
      </c>
      <c r="C7" s="6"/>
      <c r="D7" s="6"/>
      <c r="E7" s="6"/>
      <c r="F7" s="6"/>
      <c r="G7" s="6"/>
      <c r="H7" s="6"/>
      <c r="I7" s="6"/>
      <c r="J7" s="6"/>
      <c r="K7" s="6"/>
      <c r="L7" s="6"/>
      <c r="M7" s="7" t="s">
        <v>3</v>
      </c>
    </row>
    <row r="9" spans="1:14" ht="24" customHeight="1" x14ac:dyDescent="0.25">
      <c r="B9" s="8" t="s">
        <v>4</v>
      </c>
      <c r="C9" s="8"/>
      <c r="D9" s="8"/>
      <c r="E9" s="9" t="s">
        <v>5</v>
      </c>
      <c r="F9" s="9"/>
      <c r="G9" s="9"/>
      <c r="H9" s="10" t="s">
        <v>7</v>
      </c>
      <c r="I9" s="10"/>
      <c r="J9" s="10"/>
      <c r="K9" s="11" t="s">
        <v>8</v>
      </c>
      <c r="L9" s="11"/>
      <c r="M9" s="11"/>
    </row>
    <row r="10" spans="1:14" ht="21" customHeight="1" x14ac:dyDescent="0.25">
      <c r="B10" s="12">
        <v>1578019</v>
      </c>
      <c r="C10" s="13"/>
      <c r="D10" s="13"/>
      <c r="E10" s="12">
        <v>6</v>
      </c>
      <c r="F10" s="13"/>
      <c r="G10" s="13"/>
      <c r="H10" s="14">
        <v>1011249392.987</v>
      </c>
      <c r="I10" s="13"/>
      <c r="J10" s="13"/>
      <c r="K10" s="14">
        <v>3758993807.323001</v>
      </c>
      <c r="L10" s="13"/>
      <c r="M10" s="13"/>
    </row>
    <row r="11" spans="1:14" ht="21" customHeight="1" x14ac:dyDescent="0.25"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</row>
    <row r="12" spans="1:14" ht="30" customHeight="1" x14ac:dyDescent="0.25">
      <c r="B12" s="15"/>
      <c r="C12" s="15"/>
      <c r="D12" s="15"/>
      <c r="E12" s="15" t="s">
        <v>6</v>
      </c>
      <c r="F12" s="15"/>
      <c r="G12" s="15"/>
      <c r="H12" s="15"/>
      <c r="I12" s="15"/>
      <c r="J12" s="15"/>
      <c r="K12" s="15"/>
      <c r="L12" s="15"/>
      <c r="M12" s="15"/>
    </row>
    <row r="14" spans="1:14" ht="27" customHeight="1" x14ac:dyDescent="0.25">
      <c r="B14" s="5" t="s">
        <v>9</v>
      </c>
      <c r="C14" s="6"/>
      <c r="D14" s="6"/>
      <c r="E14" s="6"/>
      <c r="F14" s="6"/>
      <c r="G14" s="6"/>
      <c r="H14" s="6"/>
      <c r="I14" s="5" t="s">
        <v>10</v>
      </c>
      <c r="J14" s="5"/>
      <c r="K14" s="5"/>
      <c r="L14" s="5"/>
      <c r="M14" s="5"/>
    </row>
    <row r="15" spans="1:14" ht="36" customHeight="1" x14ac:dyDescent="0.25">
      <c r="B15" s="16" t="s">
        <v>11</v>
      </c>
      <c r="C15" s="16"/>
      <c r="D15" s="16"/>
      <c r="E15" s="17" t="s">
        <v>4</v>
      </c>
      <c r="F15" s="17" t="s">
        <v>12</v>
      </c>
      <c r="G15" s="17" t="s">
        <v>13</v>
      </c>
      <c r="H15" s="17"/>
    </row>
    <row r="16" spans="1:14" ht="19" customHeight="1" x14ac:dyDescent="0.25">
      <c r="B16" s="18" t="s">
        <v>14</v>
      </c>
      <c r="C16" s="18"/>
      <c r="D16" s="18"/>
      <c r="E16" s="19">
        <v>619073</v>
      </c>
      <c r="F16" s="20">
        <v>0.3923102320060785</v>
      </c>
      <c r="G16" s="21">
        <v>270240632.487</v>
      </c>
      <c r="H16" s="21"/>
    </row>
    <row r="17" spans="2:8" ht="19" customHeight="1" x14ac:dyDescent="0.25">
      <c r="B17" s="22" t="s">
        <v>15</v>
      </c>
      <c r="C17" s="22"/>
      <c r="D17" s="22"/>
      <c r="E17" s="23">
        <v>367289</v>
      </c>
      <c r="F17" s="24">
        <v>0.2327532178002926</v>
      </c>
      <c r="G17" s="25">
        <v>226002165.705</v>
      </c>
      <c r="H17" s="25"/>
    </row>
    <row r="18" spans="2:8" ht="19" customHeight="1" x14ac:dyDescent="0.25">
      <c r="B18" s="18" t="s">
        <v>16</v>
      </c>
      <c r="C18" s="18"/>
      <c r="D18" s="18"/>
      <c r="E18" s="19">
        <v>303845</v>
      </c>
      <c r="F18" s="20">
        <v>0.1925483786950601</v>
      </c>
      <c r="G18" s="21">
        <v>259215772.019</v>
      </c>
      <c r="H18" s="21"/>
    </row>
    <row r="19" spans="2:8" ht="19" customHeight="1" x14ac:dyDescent="0.25">
      <c r="B19" s="22" t="s">
        <v>17</v>
      </c>
      <c r="C19" s="22"/>
      <c r="D19" s="22"/>
      <c r="E19" s="23">
        <v>164983</v>
      </c>
      <c r="F19" s="24">
        <v>0.1045507056632398</v>
      </c>
      <c r="G19" s="25">
        <v>84688778.48099999</v>
      </c>
      <c r="H19" s="25"/>
    </row>
    <row r="20" spans="2:8" ht="19" customHeight="1" x14ac:dyDescent="0.25">
      <c r="B20" s="18" t="s">
        <v>18</v>
      </c>
      <c r="C20" s="18"/>
      <c r="D20" s="18"/>
      <c r="E20" s="19">
        <v>72700</v>
      </c>
      <c r="F20" s="20">
        <v>0.04607042120532136</v>
      </c>
      <c r="G20" s="21">
        <v>64076580.173</v>
      </c>
      <c r="H20" s="21"/>
    </row>
    <row r="21" spans="2:8" ht="19" customHeight="1" x14ac:dyDescent="0.25">
      <c r="B21" s="22" t="s">
        <v>19</v>
      </c>
      <c r="C21" s="22"/>
      <c r="D21" s="22"/>
      <c r="E21" s="23">
        <v>50129</v>
      </c>
      <c r="F21" s="24">
        <v>0.03176704463000762</v>
      </c>
      <c r="G21" s="25">
        <v>107025464.122</v>
      </c>
      <c r="H21" s="25"/>
    </row>
    <row r="22" spans="2:8" ht="19" customHeight="1" x14ac:dyDescent="0.25">
      <c r="B22" s="18" t="s">
        <v>20</v>
      </c>
      <c r="C22" s="18"/>
      <c r="D22" s="18"/>
      <c r="E22" s="19">
        <v>0</v>
      </c>
      <c r="F22" s="20">
        <v>0</v>
      </c>
      <c r="G22" s="21">
        <v>0</v>
      </c>
      <c r="H22" s="21"/>
    </row>
    <row r="23" spans="2:8" ht="19" customHeight="1" x14ac:dyDescent="0.25">
      <c r="B23" s="22" t="s">
        <v>21</v>
      </c>
      <c r="C23" s="22"/>
      <c r="D23" s="22"/>
      <c r="E23" s="23">
        <v>0</v>
      </c>
      <c r="F23" s="24">
        <v>0</v>
      </c>
      <c r="G23" s="25">
        <v>0</v>
      </c>
      <c r="H23" s="25"/>
    </row>
    <row r="24" spans="2:8" ht="22" customHeight="1" x14ac:dyDescent="0.25">
      <c r="B24" s="26" t="s">
        <v>22</v>
      </c>
      <c r="C24" s="26"/>
      <c r="D24" s="26"/>
      <c r="E24" s="27">
        <f>SUM(E16:E23)</f>
        <v>1578019</v>
      </c>
      <c r="F24" s="28">
        <v>1</v>
      </c>
      <c r="G24" s="29">
        <f>SUM(G16:G23)</f>
        <v>1011249392.987</v>
      </c>
      <c r="H24" s="29"/>
    </row>
    <row r="34" spans="2:13" ht="27" customHeight="1" x14ac:dyDescent="0.25">
      <c r="B34" s="5" t="s">
        <v>23</v>
      </c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</row>
    <row r="35" spans="2:13" ht="34" customHeight="1" x14ac:dyDescent="0.25">
      <c r="B35" s="30"/>
      <c r="C35" s="31" t="s">
        <v>24</v>
      </c>
      <c r="D35" s="31"/>
      <c r="E35" s="31"/>
      <c r="F35" s="31"/>
      <c r="G35" s="31"/>
      <c r="H35" s="31"/>
      <c r="I35" s="31"/>
      <c r="J35" s="31"/>
      <c r="K35" s="31"/>
      <c r="L35" s="31"/>
      <c r="M35" s="31"/>
    </row>
    <row r="36" spans="2:13" ht="6" customHeight="1" x14ac:dyDescent="0.25"/>
    <row r="37" spans="2:13" ht="34" customHeight="1" x14ac:dyDescent="0.25">
      <c r="B37" s="30"/>
      <c r="C37" s="31" t="s">
        <v>25</v>
      </c>
      <c r="D37" s="31"/>
      <c r="E37" s="31"/>
      <c r="F37" s="31"/>
      <c r="G37" s="31"/>
      <c r="H37" s="31"/>
      <c r="I37" s="31"/>
      <c r="J37" s="31"/>
      <c r="K37" s="31"/>
      <c r="L37" s="31"/>
      <c r="M37" s="31"/>
    </row>
    <row r="38" spans="2:13" ht="6" customHeight="1" x14ac:dyDescent="0.25"/>
    <row r="39" spans="2:13" ht="34" customHeight="1" x14ac:dyDescent="0.25">
      <c r="B39" s="30"/>
      <c r="C39" s="31" t="s">
        <v>26</v>
      </c>
      <c r="D39" s="31"/>
      <c r="E39" s="31"/>
      <c r="F39" s="31"/>
      <c r="G39" s="31"/>
      <c r="H39" s="31"/>
      <c r="I39" s="31"/>
      <c r="J39" s="31"/>
      <c r="K39" s="31"/>
      <c r="L39" s="31"/>
      <c r="M39" s="31"/>
    </row>
    <row r="40" spans="2:13" ht="6" customHeight="1" x14ac:dyDescent="0.25"/>
  </sheetData>
  <mergeCells count="36">
    <mergeCell ref="B9:D9"/>
    <mergeCell ref="B10:D11"/>
    <mergeCell ref="B12:D12"/>
    <mergeCell ref="E9:G9"/>
    <mergeCell ref="E10:G11"/>
    <mergeCell ref="E12:G12"/>
    <mergeCell ref="H9:J9"/>
    <mergeCell ref="H10:J11"/>
    <mergeCell ref="H12:J12"/>
    <mergeCell ref="K9:M9"/>
    <mergeCell ref="K10:M11"/>
    <mergeCell ref="K12:M12"/>
    <mergeCell ref="I14:M14"/>
    <mergeCell ref="B15:D15"/>
    <mergeCell ref="G15:H15"/>
    <mergeCell ref="B16:D16"/>
    <mergeCell ref="G16:H16"/>
    <mergeCell ref="B17:D17"/>
    <mergeCell ref="G17:H17"/>
    <mergeCell ref="B18:D18"/>
    <mergeCell ref="G18:H18"/>
    <mergeCell ref="B19:D19"/>
    <mergeCell ref="G19:H19"/>
    <mergeCell ref="B20:D20"/>
    <mergeCell ref="G20:H20"/>
    <mergeCell ref="B21:D21"/>
    <mergeCell ref="G21:H21"/>
    <mergeCell ref="B22:D22"/>
    <mergeCell ref="G22:H22"/>
    <mergeCell ref="B23:D23"/>
    <mergeCell ref="G23:H23"/>
    <mergeCell ref="B24:D24"/>
    <mergeCell ref="G24:H24"/>
    <mergeCell ref="C35:M35"/>
    <mergeCell ref="C37:M37"/>
    <mergeCell ref="C39:M39"/>
  </mergeCells>
  <conditionalFormatting sqref="F16:F23">
    <cfRule type="dataBar" priority="1">
      <dataBar>
        <cfvo type="num" val="0"/>
        <cfvo type="num" val="1"/>
        <color rgb="FFA995E0"/>
      </dataBar>
      <extLst>
        <ext xmlns:x14="http://schemas.microsoft.com/office/spreadsheetml/2009/9/main" uri="{B025F937-C7B1-47D3-B67F-A62EFF666E3E}">
          <x14:id>{DA7ABA51-AAAA-BBBB-0001-000000000001}</x14:id>
        </ext>
      </extLst>
    </cfRule>
  </conditionalFormatting>
  <printOptions horizontalCentered="1"/>
  <pageMargins left="0.35" right="0.35" top="0.6" bottom="0.55" header="0.3" footer="0.3"/>
  <pageSetup paperSize="9" orientation="landscape"/>
  <headerFooter>
    <oddHeader>&amp;L&amp;"Century Gothic,Bold"&amp;9&amp;K512F8DMinisterio de Trabajo y Desarrollo Humano&amp;R&amp;"Calibri,Regular"&amp;9&amp;K5A5765Septiembre 2026</oddHeader>
    <oddFooter>&amp;L&amp;"Calibri,Regular"&amp;8&amp;K5A5765InfoReportes · Indicadores estratégicos&amp;C&amp;"Calibri,Regular"&amp;8&amp;K5A5765Página &amp;P de &amp;N&amp;R&amp;"Calibri,Regular"&amp;8&amp;K5A5765Fuente: Ministerio de Trabajo y Desarrollo Humano</oddFooter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1-00000000000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F16:F23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657B9"/>
    <pageSetUpPr fitToPage="1"/>
  </sheetPr>
  <dimension ref="A1:I17"/>
  <sheetViews>
    <sheetView showGridLines="0" zoomScale="90" zoomScaleNormal="90" workbookViewId="0">
      <pane ySplit="8" topLeftCell="A9" activePane="bottomLeft" state="frozen"/>
      <selection pane="bottomLeft"/>
    </sheetView>
  </sheetViews>
  <sheetFormatPr defaultRowHeight="15" x14ac:dyDescent="0.25"/>
  <cols>
    <col min="1" max="1" width="3.140625" customWidth="1"/>
    <col min="2" max="2" width="6.7109375" customWidth="1"/>
    <col min="3" max="3" width="40.7109375" customWidth="1"/>
    <col min="4" max="4" width="15.7109375" customWidth="1"/>
    <col min="5" max="5" width="13.7109375" customWidth="1"/>
    <col min="6" max="6" width="18.7109375" customWidth="1"/>
    <col min="7" max="8" width="22.7109375" customWidth="1"/>
    <col min="9" max="9" width="3.140625" customWidth="1"/>
  </cols>
  <sheetData>
    <row r="1" spans="1:9" ht="12" customHeight="1" x14ac:dyDescent="0.25">
      <c r="A1" s="1"/>
      <c r="B1" s="1"/>
      <c r="C1" s="1"/>
      <c r="D1" s="1"/>
      <c r="E1" s="1"/>
      <c r="F1" s="1"/>
      <c r="G1" s="1"/>
      <c r="H1" s="1"/>
      <c r="I1" s="1"/>
    </row>
    <row r="2" spans="1:9" ht="40" customHeight="1" x14ac:dyDescent="0.25">
      <c r="A2" s="1"/>
      <c r="B2" s="2" t="s">
        <v>9</v>
      </c>
      <c r="C2" s="1"/>
      <c r="D2" s="1"/>
      <c r="E2" s="1"/>
      <c r="F2" s="1"/>
      <c r="G2" s="1"/>
      <c r="H2" s="1"/>
      <c r="I2" s="1"/>
    </row>
    <row r="3" spans="1:9" ht="22" customHeight="1" x14ac:dyDescent="0.25">
      <c r="A3" s="1"/>
      <c r="B3" s="3" t="s">
        <v>1</v>
      </c>
      <c r="C3" s="1"/>
      <c r="D3" s="1"/>
      <c r="E3" s="1"/>
      <c r="F3" s="1"/>
      <c r="G3" s="1"/>
      <c r="H3" s="1"/>
      <c r="I3" s="1"/>
    </row>
    <row r="4" spans="1:9" ht="14" customHeight="1" x14ac:dyDescent="0.25">
      <c r="A4" s="1"/>
      <c r="B4" s="1"/>
      <c r="C4" s="1"/>
      <c r="D4" s="1"/>
      <c r="E4" s="1"/>
      <c r="F4" s="1"/>
      <c r="G4" s="1"/>
      <c r="H4" s="1"/>
      <c r="I4" s="1"/>
    </row>
    <row r="5" spans="1:9" ht="5" customHeight="1" x14ac:dyDescent="0.25">
      <c r="A5" s="4"/>
      <c r="B5" s="4"/>
      <c r="C5" s="4"/>
      <c r="D5" s="4"/>
      <c r="E5" s="4"/>
      <c r="F5" s="4"/>
      <c r="G5" s="4"/>
      <c r="H5" s="4"/>
      <c r="I5" s="4"/>
    </row>
    <row r="7" spans="1:9" ht="27" customHeight="1" x14ac:dyDescent="0.25">
      <c r="B7" s="5" t="s">
        <v>27</v>
      </c>
      <c r="C7" s="6"/>
      <c r="D7" s="6"/>
      <c r="E7" s="6"/>
      <c r="F7" s="6"/>
      <c r="G7" s="6"/>
      <c r="H7" s="7" t="s">
        <v>28</v>
      </c>
    </row>
    <row r="8" spans="1:9" ht="36" customHeight="1" x14ac:dyDescent="0.25">
      <c r="B8" s="32" t="s">
        <v>29</v>
      </c>
      <c r="C8" s="33" t="s">
        <v>11</v>
      </c>
      <c r="D8" s="17" t="s">
        <v>4</v>
      </c>
      <c r="E8" s="17" t="s">
        <v>12</v>
      </c>
      <c r="F8" s="17" t="s">
        <v>7</v>
      </c>
      <c r="G8" s="17" t="s">
        <v>30</v>
      </c>
      <c r="H8" s="17" t="s">
        <v>8</v>
      </c>
    </row>
    <row r="9" spans="1:9" ht="19" customHeight="1" x14ac:dyDescent="0.25">
      <c r="B9" s="34" t="s">
        <v>31</v>
      </c>
      <c r="C9" s="18" t="s">
        <v>14</v>
      </c>
      <c r="D9" s="19">
        <v>619073</v>
      </c>
      <c r="E9" s="20">
        <v>0.3923102320060785</v>
      </c>
      <c r="F9" s="35">
        <v>270240632.487</v>
      </c>
      <c r="G9" s="35">
        <v>802269635.416001</v>
      </c>
      <c r="H9" s="35">
        <v>1072510267.903001</v>
      </c>
    </row>
    <row r="10" spans="1:9" ht="19" customHeight="1" x14ac:dyDescent="0.25">
      <c r="B10" s="36" t="s">
        <v>32</v>
      </c>
      <c r="C10" s="22" t="s">
        <v>33</v>
      </c>
      <c r="D10" s="23">
        <v>367289</v>
      </c>
      <c r="E10" s="24">
        <v>0.2327532178002926</v>
      </c>
      <c r="F10" s="37">
        <v>226002165.705</v>
      </c>
      <c r="G10" s="37">
        <v>579612323.804998</v>
      </c>
      <c r="H10" s="37">
        <v>805614489.509998</v>
      </c>
    </row>
    <row r="11" spans="1:9" ht="19" customHeight="1" x14ac:dyDescent="0.25">
      <c r="B11" s="34" t="s">
        <v>34</v>
      </c>
      <c r="C11" s="18" t="s">
        <v>16</v>
      </c>
      <c r="D11" s="19">
        <v>303845</v>
      </c>
      <c r="E11" s="20">
        <v>0.1925483786950601</v>
      </c>
      <c r="F11" s="35">
        <v>259215772.019</v>
      </c>
      <c r="G11" s="35">
        <v>729312246.7930011</v>
      </c>
      <c r="H11" s="35">
        <v>988528018.812001</v>
      </c>
    </row>
    <row r="12" spans="1:9" ht="19" customHeight="1" x14ac:dyDescent="0.25">
      <c r="B12" s="36" t="s">
        <v>35</v>
      </c>
      <c r="C12" s="22" t="s">
        <v>17</v>
      </c>
      <c r="D12" s="23">
        <v>164983</v>
      </c>
      <c r="E12" s="24">
        <v>0.1045507056632398</v>
      </c>
      <c r="F12" s="37">
        <v>84688778.48099999</v>
      </c>
      <c r="G12" s="37">
        <v>179119589.863003</v>
      </c>
      <c r="H12" s="37">
        <v>263808368.344003</v>
      </c>
    </row>
    <row r="13" spans="1:9" ht="19" customHeight="1" x14ac:dyDescent="0.25">
      <c r="B13" s="34" t="s">
        <v>36</v>
      </c>
      <c r="C13" s="18" t="s">
        <v>18</v>
      </c>
      <c r="D13" s="19">
        <v>72700</v>
      </c>
      <c r="E13" s="20">
        <v>0.04607042120532136</v>
      </c>
      <c r="F13" s="35">
        <v>64076580.173</v>
      </c>
      <c r="G13" s="35">
        <v>183610477.99</v>
      </c>
      <c r="H13" s="35">
        <v>247687058.163</v>
      </c>
    </row>
    <row r="14" spans="1:9" ht="19" customHeight="1" x14ac:dyDescent="0.25">
      <c r="B14" s="36" t="s">
        <v>37</v>
      </c>
      <c r="C14" s="22" t="s">
        <v>19</v>
      </c>
      <c r="D14" s="23">
        <v>50129</v>
      </c>
      <c r="E14" s="24">
        <v>0.03176704463000762</v>
      </c>
      <c r="F14" s="37">
        <v>107025464.122</v>
      </c>
      <c r="G14" s="37">
        <v>273536037.928999</v>
      </c>
      <c r="H14" s="37">
        <v>380561502.050999</v>
      </c>
    </row>
    <row r="15" spans="1:9" ht="19" customHeight="1" x14ac:dyDescent="0.25">
      <c r="B15" s="34" t="s">
        <v>38</v>
      </c>
      <c r="C15" s="18" t="s">
        <v>39</v>
      </c>
      <c r="D15" s="19">
        <v>0</v>
      </c>
      <c r="E15" s="20">
        <v>0</v>
      </c>
      <c r="F15" s="35">
        <v>0</v>
      </c>
      <c r="G15" s="35">
        <v>212902.539998</v>
      </c>
      <c r="H15" s="35">
        <v>212902.539998</v>
      </c>
    </row>
    <row r="16" spans="1:9" ht="19" customHeight="1" x14ac:dyDescent="0.25">
      <c r="B16" s="36" t="s">
        <v>40</v>
      </c>
      <c r="C16" s="22" t="s">
        <v>41</v>
      </c>
      <c r="D16" s="23">
        <v>0</v>
      </c>
      <c r="E16" s="24">
        <v>0</v>
      </c>
      <c r="F16" s="37">
        <v>0</v>
      </c>
      <c r="G16" s="37">
        <v>71200.00000100001</v>
      </c>
      <c r="H16" s="37">
        <v>71200.00000100001</v>
      </c>
    </row>
    <row r="17" spans="2:8" ht="22" customHeight="1" x14ac:dyDescent="0.25">
      <c r="B17" s="38"/>
      <c r="C17" s="26" t="s">
        <v>22</v>
      </c>
      <c r="D17" s="27">
        <f>SUM(D9:D16)</f>
        <v>1578019</v>
      </c>
      <c r="E17" s="28">
        <v>1</v>
      </c>
      <c r="F17" s="39">
        <f>SUM(F9:F16)</f>
        <v>1011249392.987</v>
      </c>
      <c r="G17" s="39">
        <f>SUM(G9:G16)</f>
        <v>2747744414.336001</v>
      </c>
      <c r="H17" s="39">
        <f>SUM(H9:H16)</f>
        <v>3758993807.323001</v>
      </c>
    </row>
  </sheetData>
  <conditionalFormatting sqref="E9:E16">
    <cfRule type="dataBar" priority="1">
      <dataBar>
        <cfvo type="num" val="0"/>
        <cfvo type="num" val="1"/>
        <color rgb="FFA995E0"/>
      </dataBar>
      <extLst>
        <ext xmlns:x14="http://schemas.microsoft.com/office/spreadsheetml/2009/9/main" uri="{B025F937-C7B1-47D3-B67F-A62EFF666E3E}">
          <x14:id>{DA7ABA51-AAAA-BBBB-0002-000000000001}</x14:id>
        </ext>
      </extLst>
    </cfRule>
  </conditionalFormatting>
  <printOptions horizontalCentered="1"/>
  <pageMargins left="0.35" right="0.35" top="0.6" bottom="0.55" header="0.3" footer="0.3"/>
  <pageSetup paperSize="9" orientation="landscape"/>
  <headerFooter>
    <oddHeader>&amp;L&amp;"Century Gothic,Bold"&amp;9&amp;K512F8DMinisterio de Trabajo y Desarrollo Humano&amp;R&amp;"Calibri,Regular"&amp;9&amp;K5A5765Septiembre 2026</oddHeader>
    <oddFooter>&amp;L&amp;"Calibri,Regular"&amp;8&amp;K5A5765InfoReportes · Indicadores estratégicos&amp;C&amp;"Calibri,Regular"&amp;8&amp;K5A5765Página &amp;P de &amp;N&amp;R&amp;"Calibri,Regular"&amp;8&amp;K5A5765Fuente: Ministerio de Trabajo y Desarrollo Humano</oddFooter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2-00000000000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E9:E16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8C018"/>
    <pageSetUpPr fitToPage="1"/>
  </sheetPr>
  <dimension ref="A1:J62"/>
  <sheetViews>
    <sheetView showGridLines="0" zoomScale="90" zoomScaleNormal="90" workbookViewId="0"/>
  </sheetViews>
  <sheetFormatPr defaultRowHeight="15" x14ac:dyDescent="0.25"/>
  <cols>
    <col min="1" max="1" width="3.140625" customWidth="1"/>
    <col min="2" max="2" width="9.7109375" customWidth="1"/>
    <col min="3" max="3" width="8.7109375" customWidth="1"/>
    <col min="4" max="4" width="30.7109375" customWidth="1"/>
    <col min="5" max="5" width="12.7109375" customWidth="1"/>
    <col min="6" max="6" width="15.7109375" customWidth="1"/>
    <col min="7" max="7" width="13.7109375" customWidth="1"/>
    <col min="8" max="8" width="18.7109375" customWidth="1"/>
    <col min="9" max="9" width="22.7109375" customWidth="1"/>
    <col min="10" max="10" width="3.140625" customWidth="1"/>
  </cols>
  <sheetData>
    <row r="1" spans="1:10" ht="12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ht="40" customHeight="1" x14ac:dyDescent="0.25">
      <c r="A2" s="1"/>
      <c r="B2" s="2" t="s">
        <v>42</v>
      </c>
      <c r="C2" s="1"/>
      <c r="D2" s="1"/>
      <c r="E2" s="1"/>
      <c r="F2" s="1"/>
      <c r="G2" s="1"/>
      <c r="H2" s="1"/>
      <c r="I2" s="1"/>
      <c r="J2" s="1"/>
    </row>
    <row r="3" spans="1:10" ht="22" customHeight="1" x14ac:dyDescent="0.25">
      <c r="A3" s="1"/>
      <c r="B3" s="3" t="s">
        <v>43</v>
      </c>
      <c r="C3" s="1"/>
      <c r="D3" s="1"/>
      <c r="E3" s="1"/>
      <c r="F3" s="1"/>
      <c r="G3" s="1"/>
      <c r="H3" s="1"/>
      <c r="I3" s="1"/>
      <c r="J3" s="1"/>
    </row>
    <row r="4" spans="1:10" ht="14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</row>
    <row r="5" spans="1:10" ht="5" customHeight="1" x14ac:dyDescent="0.25">
      <c r="A5" s="4"/>
      <c r="B5" s="4"/>
      <c r="C5" s="4"/>
      <c r="D5" s="4"/>
      <c r="E5" s="4"/>
      <c r="F5" s="4"/>
      <c r="G5" s="4"/>
      <c r="H5" s="4"/>
      <c r="I5" s="4"/>
      <c r="J5" s="4"/>
    </row>
    <row r="7" spans="1:10" ht="27" customHeight="1" x14ac:dyDescent="0.25">
      <c r="B7" s="5" t="s">
        <v>10</v>
      </c>
      <c r="C7" s="6"/>
      <c r="D7" s="6"/>
      <c r="E7" s="6"/>
      <c r="F7" s="6"/>
      <c r="G7" s="6"/>
      <c r="H7" s="6"/>
      <c r="I7" s="6"/>
    </row>
    <row r="35" spans="2:9" ht="27" customHeight="1" x14ac:dyDescent="0.25">
      <c r="B35" s="5" t="s">
        <v>44</v>
      </c>
      <c r="C35" s="6"/>
      <c r="D35" s="6"/>
      <c r="E35" s="6"/>
      <c r="F35" s="6"/>
      <c r="G35" s="6"/>
      <c r="H35" s="6"/>
      <c r="I35" s="7" t="s">
        <v>28</v>
      </c>
    </row>
    <row r="36" spans="2:9" ht="36" customHeight="1" x14ac:dyDescent="0.25">
      <c r="B36" s="32" t="s">
        <v>45</v>
      </c>
      <c r="C36" s="40" t="s">
        <v>46</v>
      </c>
      <c r="D36" s="33" t="s">
        <v>47</v>
      </c>
      <c r="E36" s="40" t="s">
        <v>48</v>
      </c>
      <c r="F36" s="17" t="s">
        <v>4</v>
      </c>
      <c r="G36" s="17" t="s">
        <v>49</v>
      </c>
      <c r="H36" s="17" t="s">
        <v>7</v>
      </c>
      <c r="I36" s="17" t="s">
        <v>8</v>
      </c>
    </row>
    <row r="37" spans="2:9" ht="19" customHeight="1" x14ac:dyDescent="0.25">
      <c r="B37" s="41">
        <v>1</v>
      </c>
      <c r="C37" s="42" t="s">
        <v>50</v>
      </c>
      <c r="D37" s="18" t="s">
        <v>51</v>
      </c>
      <c r="E37" s="42" t="s">
        <v>52</v>
      </c>
      <c r="F37" s="19">
        <v>312265</v>
      </c>
      <c r="G37" s="20">
        <v>0.1978841826365842</v>
      </c>
      <c r="H37" s="35">
        <v>197809521.859</v>
      </c>
      <c r="I37" s="35">
        <v>718146868.695622</v>
      </c>
    </row>
    <row r="38" spans="2:9" ht="19" customHeight="1" x14ac:dyDescent="0.25">
      <c r="B38" s="43">
        <v>2</v>
      </c>
      <c r="C38" s="44" t="s">
        <v>53</v>
      </c>
      <c r="D38" s="22" t="s">
        <v>54</v>
      </c>
      <c r="E38" s="44" t="s">
        <v>52</v>
      </c>
      <c r="F38" s="23">
        <v>214817</v>
      </c>
      <c r="G38" s="24">
        <v>0.1361308070435147</v>
      </c>
      <c r="H38" s="37">
        <v>135440336.98</v>
      </c>
      <c r="I38" s="37">
        <v>505924031.036519</v>
      </c>
    </row>
    <row r="39" spans="2:9" ht="19" customHeight="1" x14ac:dyDescent="0.25">
      <c r="B39" s="41">
        <v>3</v>
      </c>
      <c r="C39" s="42" t="s">
        <v>55</v>
      </c>
      <c r="D39" s="18" t="s">
        <v>56</v>
      </c>
      <c r="E39" s="42" t="s">
        <v>52</v>
      </c>
      <c r="F39" s="19">
        <v>126547</v>
      </c>
      <c r="G39" s="20">
        <v>0.08019358448789272</v>
      </c>
      <c r="H39" s="35">
        <v>78719742.789</v>
      </c>
      <c r="I39" s="35">
        <v>302324182.041439</v>
      </c>
    </row>
    <row r="40" spans="2:9" ht="19" customHeight="1" x14ac:dyDescent="0.25">
      <c r="B40" s="43">
        <v>4</v>
      </c>
      <c r="C40" s="44" t="s">
        <v>57</v>
      </c>
      <c r="D40" s="22" t="s">
        <v>58</v>
      </c>
      <c r="E40" s="44" t="s">
        <v>59</v>
      </c>
      <c r="F40" s="23">
        <v>107356</v>
      </c>
      <c r="G40" s="24">
        <v>0.06803213396036423</v>
      </c>
      <c r="H40" s="37">
        <v>73027314.73899999</v>
      </c>
      <c r="I40" s="37">
        <v>248791972.464939</v>
      </c>
    </row>
    <row r="41" spans="2:9" ht="19" customHeight="1" x14ac:dyDescent="0.25">
      <c r="B41" s="41">
        <v>5</v>
      </c>
      <c r="C41" s="42" t="s">
        <v>60</v>
      </c>
      <c r="D41" s="18" t="s">
        <v>61</v>
      </c>
      <c r="E41" s="42" t="s">
        <v>52</v>
      </c>
      <c r="F41" s="19">
        <v>104516</v>
      </c>
      <c r="G41" s="20">
        <v>0.0662324091154796</v>
      </c>
      <c r="H41" s="35">
        <v>65550639.10600001</v>
      </c>
      <c r="I41" s="35">
        <v>226450752.140465</v>
      </c>
    </row>
    <row r="42" spans="2:9" ht="19" customHeight="1" x14ac:dyDescent="0.25">
      <c r="B42" s="43">
        <v>6</v>
      </c>
      <c r="C42" s="44" t="s">
        <v>62</v>
      </c>
      <c r="D42" s="22" t="s">
        <v>63</v>
      </c>
      <c r="E42" s="44" t="s">
        <v>59</v>
      </c>
      <c r="F42" s="23">
        <v>66600</v>
      </c>
      <c r="G42" s="24">
        <v>0.04220481502440718</v>
      </c>
      <c r="H42" s="37">
        <v>43381040.12400001</v>
      </c>
      <c r="I42" s="37">
        <v>168576571.586255</v>
      </c>
    </row>
    <row r="43" spans="2:9" ht="19" customHeight="1" x14ac:dyDescent="0.25">
      <c r="B43" s="41">
        <v>7</v>
      </c>
      <c r="C43" s="42" t="s">
        <v>64</v>
      </c>
      <c r="D43" s="18" t="s">
        <v>65</v>
      </c>
      <c r="E43" s="42" t="s">
        <v>59</v>
      </c>
      <c r="F43" s="19">
        <v>66269</v>
      </c>
      <c r="G43" s="20">
        <v>0.04199505836114774</v>
      </c>
      <c r="H43" s="35">
        <v>42703090.61</v>
      </c>
      <c r="I43" s="35">
        <v>165641888.710957</v>
      </c>
    </row>
    <row r="44" spans="2:9" ht="19" customHeight="1" x14ac:dyDescent="0.25">
      <c r="B44" s="43">
        <v>8</v>
      </c>
      <c r="C44" s="44" t="s">
        <v>66</v>
      </c>
      <c r="D44" s="22" t="s">
        <v>67</v>
      </c>
      <c r="E44" s="44" t="s">
        <v>59</v>
      </c>
      <c r="F44" s="23">
        <v>59564</v>
      </c>
      <c r="G44" s="24">
        <v>0.03774606009179864</v>
      </c>
      <c r="H44" s="37">
        <v>40304619.987</v>
      </c>
      <c r="I44" s="37">
        <v>153828423.024293</v>
      </c>
    </row>
    <row r="45" spans="2:9" ht="19" customHeight="1" x14ac:dyDescent="0.25">
      <c r="B45" s="41">
        <v>9</v>
      </c>
      <c r="C45" s="42" t="s">
        <v>68</v>
      </c>
      <c r="D45" s="18" t="s">
        <v>69</v>
      </c>
      <c r="E45" s="42" t="s">
        <v>59</v>
      </c>
      <c r="F45" s="19">
        <v>57099</v>
      </c>
      <c r="G45" s="20">
        <v>0.03618397497115054</v>
      </c>
      <c r="H45" s="35">
        <v>37114106.194</v>
      </c>
      <c r="I45" s="35">
        <v>138479324.752628</v>
      </c>
    </row>
    <row r="46" spans="2:9" ht="19" customHeight="1" x14ac:dyDescent="0.25">
      <c r="B46" s="43">
        <v>10</v>
      </c>
      <c r="C46" s="44" t="s">
        <v>70</v>
      </c>
      <c r="D46" s="22" t="s">
        <v>71</v>
      </c>
      <c r="E46" s="44" t="s">
        <v>59</v>
      </c>
      <c r="F46" s="23">
        <v>53308</v>
      </c>
      <c r="G46" s="24">
        <v>0.03378159578560207</v>
      </c>
      <c r="H46" s="37">
        <v>34395554.649</v>
      </c>
      <c r="I46" s="37">
        <v>134822579.353573</v>
      </c>
    </row>
    <row r="47" spans="2:9" ht="19" customHeight="1" x14ac:dyDescent="0.25">
      <c r="B47" s="41">
        <v>11</v>
      </c>
      <c r="C47" s="42" t="s">
        <v>72</v>
      </c>
      <c r="D47" s="18" t="s">
        <v>73</v>
      </c>
      <c r="E47" s="42" t="s">
        <v>52</v>
      </c>
      <c r="F47" s="19">
        <v>51240</v>
      </c>
      <c r="G47" s="20">
        <v>0.03247109191967904</v>
      </c>
      <c r="H47" s="35">
        <v>30689959.541</v>
      </c>
      <c r="I47" s="35">
        <v>116529673.250777</v>
      </c>
    </row>
    <row r="48" spans="2:9" ht="19" customHeight="1" x14ac:dyDescent="0.25">
      <c r="B48" s="43">
        <v>12</v>
      </c>
      <c r="C48" s="44" t="s">
        <v>74</v>
      </c>
      <c r="D48" s="22" t="s">
        <v>75</v>
      </c>
      <c r="E48" s="44" t="s">
        <v>59</v>
      </c>
      <c r="F48" s="23">
        <v>49111</v>
      </c>
      <c r="G48" s="24">
        <v>0.03112193199194686</v>
      </c>
      <c r="H48" s="37">
        <v>31958624.074</v>
      </c>
      <c r="I48" s="37">
        <v>122667893.508011</v>
      </c>
    </row>
    <row r="49" spans="2:9" ht="19" customHeight="1" x14ac:dyDescent="0.25">
      <c r="B49" s="41">
        <v>13</v>
      </c>
      <c r="C49" s="42" t="s">
        <v>76</v>
      </c>
      <c r="D49" s="18" t="s">
        <v>77</v>
      </c>
      <c r="E49" s="42" t="s">
        <v>52</v>
      </c>
      <c r="F49" s="19">
        <v>48796</v>
      </c>
      <c r="G49" s="20">
        <v>0.03092231462358818</v>
      </c>
      <c r="H49" s="35">
        <v>33484335.297</v>
      </c>
      <c r="I49" s="35">
        <v>122089316.223895</v>
      </c>
    </row>
    <row r="50" spans="2:9" ht="19" customHeight="1" x14ac:dyDescent="0.25">
      <c r="B50" s="43">
        <v>14</v>
      </c>
      <c r="C50" s="44" t="s">
        <v>78</v>
      </c>
      <c r="D50" s="22" t="s">
        <v>79</v>
      </c>
      <c r="E50" s="44" t="s">
        <v>52</v>
      </c>
      <c r="F50" s="23">
        <v>46305</v>
      </c>
      <c r="G50" s="24">
        <v>0.02934375314872635</v>
      </c>
      <c r="H50" s="37">
        <v>28781495.142</v>
      </c>
      <c r="I50" s="37">
        <v>109026676.041688</v>
      </c>
    </row>
    <row r="51" spans="2:9" ht="19" customHeight="1" x14ac:dyDescent="0.25">
      <c r="B51" s="41">
        <v>15</v>
      </c>
      <c r="C51" s="42" t="s">
        <v>80</v>
      </c>
      <c r="D51" s="18" t="s">
        <v>81</v>
      </c>
      <c r="E51" s="42" t="s">
        <v>59</v>
      </c>
      <c r="F51" s="19">
        <v>36980</v>
      </c>
      <c r="G51" s="20">
        <v>0.02343444533937804</v>
      </c>
      <c r="H51" s="35">
        <v>24116056.508</v>
      </c>
      <c r="I51" s="35">
        <v>95031176.22691</v>
      </c>
    </row>
    <row r="52" spans="2:9" ht="19" customHeight="1" x14ac:dyDescent="0.25">
      <c r="B52" s="43">
        <v>16</v>
      </c>
      <c r="C52" s="44" t="s">
        <v>82</v>
      </c>
      <c r="D52" s="22" t="s">
        <v>83</v>
      </c>
      <c r="E52" s="44" t="s">
        <v>84</v>
      </c>
      <c r="F52" s="23">
        <v>32836</v>
      </c>
      <c r="G52" s="24">
        <v>0.0208083679600816</v>
      </c>
      <c r="H52" s="37">
        <v>20634495.376</v>
      </c>
      <c r="I52" s="37">
        <v>81826179.217132</v>
      </c>
    </row>
    <row r="53" spans="2:9" ht="19" customHeight="1" x14ac:dyDescent="0.25">
      <c r="B53" s="41">
        <v>17</v>
      </c>
      <c r="C53" s="42" t="s">
        <v>85</v>
      </c>
      <c r="D53" s="18" t="s">
        <v>86</v>
      </c>
      <c r="E53" s="42" t="s">
        <v>84</v>
      </c>
      <c r="F53" s="19">
        <v>27191</v>
      </c>
      <c r="G53" s="20">
        <v>0.01723109797790775</v>
      </c>
      <c r="H53" s="35">
        <v>17848684.85</v>
      </c>
      <c r="I53" s="35">
        <v>62451249.512762</v>
      </c>
    </row>
    <row r="54" spans="2:9" ht="19" customHeight="1" x14ac:dyDescent="0.25">
      <c r="B54" s="43">
        <v>18</v>
      </c>
      <c r="C54" s="44" t="s">
        <v>87</v>
      </c>
      <c r="D54" s="22" t="s">
        <v>88</v>
      </c>
      <c r="E54" s="44" t="s">
        <v>59</v>
      </c>
      <c r="F54" s="23">
        <v>25588</v>
      </c>
      <c r="G54" s="24">
        <v>0.016215267370038</v>
      </c>
      <c r="H54" s="37">
        <v>16692805.203</v>
      </c>
      <c r="I54" s="37">
        <v>64974365.35502499</v>
      </c>
    </row>
    <row r="55" spans="2:9" ht="19" customHeight="1" x14ac:dyDescent="0.25">
      <c r="B55" s="41">
        <v>19</v>
      </c>
      <c r="C55" s="42" t="s">
        <v>89</v>
      </c>
      <c r="D55" s="18" t="s">
        <v>90</v>
      </c>
      <c r="E55" s="42" t="s">
        <v>84</v>
      </c>
      <c r="F55" s="19">
        <v>23018</v>
      </c>
      <c r="G55" s="20">
        <v>0.01458664312660367</v>
      </c>
      <c r="H55" s="35">
        <v>14438928.357</v>
      </c>
      <c r="I55" s="35">
        <v>53430946.866441</v>
      </c>
    </row>
    <row r="56" spans="2:9" ht="19" customHeight="1" x14ac:dyDescent="0.25">
      <c r="B56" s="43">
        <v>20</v>
      </c>
      <c r="C56" s="44" t="s">
        <v>91</v>
      </c>
      <c r="D56" s="22" t="s">
        <v>92</v>
      </c>
      <c r="E56" s="44" t="s">
        <v>59</v>
      </c>
      <c r="F56" s="23">
        <v>21140</v>
      </c>
      <c r="G56" s="24">
        <v>0.01339654338762715</v>
      </c>
      <c r="H56" s="37">
        <v>13358682.975</v>
      </c>
      <c r="I56" s="37">
        <v>51316810.698128</v>
      </c>
    </row>
    <row r="57" spans="2:9" ht="19" customHeight="1" x14ac:dyDescent="0.25">
      <c r="B57" s="41">
        <v>21</v>
      </c>
      <c r="C57" s="42" t="s">
        <v>93</v>
      </c>
      <c r="D57" s="18" t="s">
        <v>94</v>
      </c>
      <c r="E57" s="42" t="s">
        <v>84</v>
      </c>
      <c r="F57" s="19">
        <v>20174</v>
      </c>
      <c r="G57" s="20">
        <v>0.01278438345799385</v>
      </c>
      <c r="H57" s="35">
        <v>12677199.52</v>
      </c>
      <c r="I57" s="35">
        <v>50278984.06020401</v>
      </c>
    </row>
    <row r="58" spans="2:9" ht="19" customHeight="1" x14ac:dyDescent="0.25">
      <c r="B58" s="43">
        <v>22</v>
      </c>
      <c r="C58" s="44" t="s">
        <v>95</v>
      </c>
      <c r="D58" s="22" t="s">
        <v>96</v>
      </c>
      <c r="E58" s="44" t="s">
        <v>84</v>
      </c>
      <c r="F58" s="23">
        <v>13824</v>
      </c>
      <c r="G58" s="24">
        <v>0.008760350794255328</v>
      </c>
      <c r="H58" s="37">
        <v>9228124.159</v>
      </c>
      <c r="I58" s="37">
        <v>33848574.678462</v>
      </c>
    </row>
    <row r="59" spans="2:9" ht="19" customHeight="1" x14ac:dyDescent="0.25">
      <c r="B59" s="41">
        <v>23</v>
      </c>
      <c r="C59" s="42" t="s">
        <v>97</v>
      </c>
      <c r="D59" s="18" t="s">
        <v>98</v>
      </c>
      <c r="E59" s="42" t="s">
        <v>84</v>
      </c>
      <c r="F59" s="19">
        <v>12710</v>
      </c>
      <c r="G59" s="20">
        <v>0.008054402386790019</v>
      </c>
      <c r="H59" s="35">
        <v>8382206.395</v>
      </c>
      <c r="I59" s="35">
        <v>31647796.353523</v>
      </c>
    </row>
    <row r="60" spans="2:9" ht="19" customHeight="1" x14ac:dyDescent="0.25">
      <c r="B60" s="43" t="s">
        <v>99</v>
      </c>
      <c r="C60" s="44" t="s">
        <v>100</v>
      </c>
      <c r="D60" s="22" t="s">
        <v>101</v>
      </c>
      <c r="E60" s="44" t="s">
        <v>102</v>
      </c>
      <c r="F60" s="23">
        <v>408</v>
      </c>
      <c r="G60" s="24">
        <v>0.0002585520199693413</v>
      </c>
      <c r="H60" s="37">
        <v>260508.244</v>
      </c>
      <c r="I60" s="37">
        <v>388610.811504</v>
      </c>
    </row>
    <row r="61" spans="2:9" ht="19" customHeight="1" x14ac:dyDescent="0.25">
      <c r="B61" s="41">
        <v>24</v>
      </c>
      <c r="C61" s="42" t="s">
        <v>103</v>
      </c>
      <c r="D61" s="18" t="s">
        <v>104</v>
      </c>
      <c r="E61" s="42" t="s">
        <v>105</v>
      </c>
      <c r="F61" s="19">
        <v>357</v>
      </c>
      <c r="G61" s="20">
        <v>0.0002262330174731737</v>
      </c>
      <c r="H61" s="35">
        <v>251320.309</v>
      </c>
      <c r="I61" s="35">
        <v>498960.711849</v>
      </c>
    </row>
    <row r="62" spans="2:9" ht="22" customHeight="1" x14ac:dyDescent="0.25">
      <c r="B62" s="26" t="s">
        <v>106</v>
      </c>
      <c r="C62" s="26"/>
      <c r="D62" s="26"/>
      <c r="E62" s="26"/>
      <c r="F62" s="27">
        <f>SUM(F37:F61)</f>
        <v>1578019</v>
      </c>
      <c r="G62" s="28">
        <v>1</v>
      </c>
      <c r="H62" s="39">
        <f>SUM(H37:H61)</f>
        <v>1011249392.987</v>
      </c>
      <c r="I62" s="39">
        <f>SUM(I37:I61)</f>
        <v>3758993807.323001</v>
      </c>
    </row>
  </sheetData>
  <autoFilter ref="B36:I61"/>
  <mergeCells count="1">
    <mergeCell ref="B62:E62"/>
  </mergeCells>
  <conditionalFormatting sqref="G37:G61">
    <cfRule type="dataBar" priority="1">
      <dataBar>
        <cfvo type="num" val="0"/>
        <cfvo type="max"/>
        <color rgb="FFA995E0"/>
      </dataBar>
      <extLst>
        <ext xmlns:x14="http://schemas.microsoft.com/office/spreadsheetml/2009/9/main" uri="{B025F937-C7B1-47D3-B67F-A62EFF666E3E}">
          <x14:id>{DA7ABA51-AAAA-BBBB-0003-000000000001}</x14:id>
        </ext>
      </extLst>
    </cfRule>
  </conditionalFormatting>
  <printOptions horizontalCentered="1"/>
  <pageMargins left="0.35" right="0.35" top="0.6" bottom="0.55" header="0.3" footer="0.3"/>
  <pageSetup paperSize="9" fitToHeight="0" orientation="landscape"/>
  <headerFooter>
    <oddHeader>&amp;L&amp;"Century Gothic,Bold"&amp;9&amp;K512F8DMinisterio de Trabajo y Desarrollo Humano&amp;R&amp;"Calibri,Regular"&amp;9&amp;K5A5765Septiembre 2026</oddHeader>
    <oddFooter>&amp;L&amp;"Calibri,Regular"&amp;8&amp;K5A5765InfoReportes · Indicadores estratégicos&amp;C&amp;"Calibri,Regular"&amp;8&amp;K5A5765Página &amp;P de &amp;N&amp;R&amp;"Calibri,Regular"&amp;8&amp;K5A5765Fuente: Ministerio de Trabajo y Desarrollo Humano</oddFooter>
  </headerFooter>
  <rowBreaks count="1" manualBreakCount="1">
    <brk id="34" max="16383" man="1"/>
  </rowBreaks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3-000000000001}">
            <x14:dataBar minLength="0" maxLength="100" gradient="0">
              <x14:cfvo type="num">
                <xm:f>0</xm:f>
              </x14:cfvo>
              <x14:cfvo type="autoMax"/>
              <x14:negativeFillColor rgb="FFFF0000"/>
              <x14:axisColor rgb="FF000000"/>
            </x14:dataBar>
          </x14:cfRule>
          <xm:sqref>G37:G61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A995E0"/>
    <pageSetUpPr fitToPage="1"/>
  </sheetPr>
  <dimension ref="A1:J209"/>
  <sheetViews>
    <sheetView showGridLines="0" zoomScale="90" zoomScaleNormal="90" workbookViewId="0">
      <pane xSplit="2" ySplit="9" topLeftCell="C10" activePane="bottomRight" state="frozen"/>
      <selection pane="topRight" activeCell="C1" sqref="C1"/>
      <selection pane="bottomLeft" activeCell="A10" sqref="A10"/>
      <selection pane="bottomRight"/>
    </sheetView>
  </sheetViews>
  <sheetFormatPr defaultRowHeight="15" x14ac:dyDescent="0.25"/>
  <cols>
    <col min="1" max="1" width="3.140625" customWidth="1"/>
    <col min="2" max="2" width="38.7109375" customWidth="1"/>
    <col min="3" max="3" width="9.7109375" customWidth="1"/>
    <col min="4" max="4" width="28.7109375" customWidth="1"/>
    <col min="5" max="5" width="12.7109375" customWidth="1"/>
    <col min="6" max="6" width="15.7109375" customWidth="1"/>
    <col min="7" max="7" width="18.7109375" customWidth="1"/>
    <col min="8" max="9" width="22.7109375" customWidth="1"/>
    <col min="10" max="10" width="3.140625" customWidth="1"/>
  </cols>
  <sheetData>
    <row r="1" spans="1:10" ht="8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ht="32" customHeight="1" x14ac:dyDescent="0.25">
      <c r="A2" s="1"/>
      <c r="B2" s="45" t="s">
        <v>107</v>
      </c>
      <c r="C2" s="1"/>
      <c r="D2" s="1"/>
      <c r="E2" s="1"/>
      <c r="F2" s="1"/>
      <c r="G2" s="1"/>
      <c r="H2" s="1"/>
      <c r="I2" s="1"/>
      <c r="J2" s="1"/>
    </row>
    <row r="3" spans="1:10" ht="20" customHeight="1" x14ac:dyDescent="0.25">
      <c r="A3" s="1"/>
      <c r="B3" s="3" t="s">
        <v>1</v>
      </c>
      <c r="C3" s="1"/>
      <c r="D3" s="1"/>
      <c r="E3" s="1"/>
      <c r="F3" s="1"/>
      <c r="G3" s="1"/>
      <c r="H3" s="1"/>
      <c r="I3" s="1"/>
      <c r="J3" s="1"/>
    </row>
    <row r="4" spans="1:10" ht="10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</row>
    <row r="5" spans="1:10" ht="5" customHeight="1" x14ac:dyDescent="0.25">
      <c r="A5" s="4"/>
      <c r="B5" s="4"/>
      <c r="C5" s="4"/>
      <c r="D5" s="4"/>
      <c r="E5" s="4"/>
      <c r="F5" s="4"/>
      <c r="G5" s="4"/>
      <c r="H5" s="4"/>
      <c r="I5" s="4"/>
      <c r="J5" s="4"/>
    </row>
    <row r="7" spans="1:10" ht="24" customHeight="1" x14ac:dyDescent="0.25">
      <c r="B7" s="26" t="s">
        <v>108</v>
      </c>
      <c r="C7" s="26"/>
      <c r="D7" s="26"/>
      <c r="E7" s="26"/>
      <c r="F7" s="27">
        <f>SUBTOTAL(109,F10:F209)</f>
        <v>1578019</v>
      </c>
      <c r="G7" s="39">
        <f>SUBTOTAL(109,G10:G209)</f>
        <v>1011249392.987</v>
      </c>
      <c r="H7" s="39">
        <f>SUBTOTAL(109,H10:H209)</f>
        <v>2747744414.336001</v>
      </c>
      <c r="I7" s="39">
        <f>SUBTOTAL(109,I10:I209)</f>
        <v>3758993807.323001</v>
      </c>
    </row>
    <row r="8" spans="1:10" ht="6" customHeight="1" x14ac:dyDescent="0.25"/>
    <row r="9" spans="1:10" ht="36" customHeight="1" x14ac:dyDescent="0.25">
      <c r="B9" s="16" t="s">
        <v>11</v>
      </c>
      <c r="C9" s="33" t="s">
        <v>46</v>
      </c>
      <c r="D9" s="33" t="s">
        <v>47</v>
      </c>
      <c r="E9" s="33" t="s">
        <v>48</v>
      </c>
      <c r="F9" s="17" t="s">
        <v>4</v>
      </c>
      <c r="G9" s="17" t="s">
        <v>7</v>
      </c>
      <c r="H9" s="17" t="s">
        <v>30</v>
      </c>
      <c r="I9" s="17" t="s">
        <v>8</v>
      </c>
    </row>
    <row r="10" spans="1:10" ht="18" customHeight="1" x14ac:dyDescent="0.25">
      <c r="B10" s="18" t="s">
        <v>17</v>
      </c>
      <c r="C10" s="42" t="s">
        <v>70</v>
      </c>
      <c r="D10" s="46" t="s">
        <v>71</v>
      </c>
      <c r="E10" s="42" t="s">
        <v>59</v>
      </c>
      <c r="F10" s="19">
        <v>4010</v>
      </c>
      <c r="G10" s="35">
        <v>2058406.032</v>
      </c>
      <c r="H10" s="35">
        <v>4636336.997436</v>
      </c>
      <c r="I10" s="35">
        <v>6694743.029436</v>
      </c>
    </row>
    <row r="11" spans="1:10" ht="18" customHeight="1" x14ac:dyDescent="0.25">
      <c r="B11" s="22" t="s">
        <v>17</v>
      </c>
      <c r="C11" s="44" t="s">
        <v>80</v>
      </c>
      <c r="D11" s="47" t="s">
        <v>81</v>
      </c>
      <c r="E11" s="44" t="s">
        <v>59</v>
      </c>
      <c r="F11" s="23">
        <v>2458</v>
      </c>
      <c r="G11" s="37">
        <v>1261736.161</v>
      </c>
      <c r="H11" s="37">
        <v>2742797.245499</v>
      </c>
      <c r="I11" s="37">
        <v>4004533.406499</v>
      </c>
    </row>
    <row r="12" spans="1:10" ht="18" customHeight="1" x14ac:dyDescent="0.25">
      <c r="B12" s="18" t="s">
        <v>17</v>
      </c>
      <c r="C12" s="42" t="s">
        <v>91</v>
      </c>
      <c r="D12" s="46" t="s">
        <v>92</v>
      </c>
      <c r="E12" s="42" t="s">
        <v>59</v>
      </c>
      <c r="F12" s="19">
        <v>1628</v>
      </c>
      <c r="G12" s="35">
        <v>835682.046</v>
      </c>
      <c r="H12" s="35">
        <v>1716443.529333</v>
      </c>
      <c r="I12" s="35">
        <v>2552125.575333</v>
      </c>
    </row>
    <row r="13" spans="1:10" ht="18" customHeight="1" x14ac:dyDescent="0.25">
      <c r="B13" s="22" t="s">
        <v>17</v>
      </c>
      <c r="C13" s="44" t="s">
        <v>87</v>
      </c>
      <c r="D13" s="47" t="s">
        <v>88</v>
      </c>
      <c r="E13" s="44" t="s">
        <v>59</v>
      </c>
      <c r="F13" s="23">
        <v>2119</v>
      </c>
      <c r="G13" s="37">
        <v>1087721.289</v>
      </c>
      <c r="H13" s="37">
        <v>2226396.65992</v>
      </c>
      <c r="I13" s="37">
        <v>3314117.94892</v>
      </c>
    </row>
    <row r="14" spans="1:10" ht="18" customHeight="1" x14ac:dyDescent="0.25">
      <c r="B14" s="18" t="s">
        <v>17</v>
      </c>
      <c r="C14" s="42" t="s">
        <v>62</v>
      </c>
      <c r="D14" s="46" t="s">
        <v>63</v>
      </c>
      <c r="E14" s="42" t="s">
        <v>59</v>
      </c>
      <c r="F14" s="19">
        <v>4251</v>
      </c>
      <c r="G14" s="35">
        <v>2182115.714</v>
      </c>
      <c r="H14" s="35">
        <v>4622840.962934</v>
      </c>
      <c r="I14" s="35">
        <v>6804956.676934</v>
      </c>
    </row>
    <row r="15" spans="1:10" ht="18" customHeight="1" x14ac:dyDescent="0.25">
      <c r="B15" s="22" t="s">
        <v>17</v>
      </c>
      <c r="C15" s="44" t="s">
        <v>64</v>
      </c>
      <c r="D15" s="47" t="s">
        <v>65</v>
      </c>
      <c r="E15" s="44" t="s">
        <v>59</v>
      </c>
      <c r="F15" s="23">
        <v>4912</v>
      </c>
      <c r="G15" s="37">
        <v>2521419.055</v>
      </c>
      <c r="H15" s="37">
        <v>5653607.677671</v>
      </c>
      <c r="I15" s="37">
        <v>8175026.732671</v>
      </c>
    </row>
    <row r="16" spans="1:10" ht="18" customHeight="1" x14ac:dyDescent="0.25">
      <c r="B16" s="18" t="s">
        <v>17</v>
      </c>
      <c r="C16" s="42" t="s">
        <v>76</v>
      </c>
      <c r="D16" s="46" t="s">
        <v>77</v>
      </c>
      <c r="E16" s="42" t="s">
        <v>52</v>
      </c>
      <c r="F16" s="19">
        <v>6697</v>
      </c>
      <c r="G16" s="35">
        <v>3437692.058</v>
      </c>
      <c r="H16" s="35">
        <v>6658802.722745</v>
      </c>
      <c r="I16" s="35">
        <v>10096494.780745</v>
      </c>
    </row>
    <row r="17" spans="2:9" ht="18" customHeight="1" x14ac:dyDescent="0.25">
      <c r="B17" s="22" t="s">
        <v>17</v>
      </c>
      <c r="C17" s="44" t="s">
        <v>60</v>
      </c>
      <c r="D17" s="47" t="s">
        <v>61</v>
      </c>
      <c r="E17" s="44" t="s">
        <v>52</v>
      </c>
      <c r="F17" s="23">
        <v>9990</v>
      </c>
      <c r="G17" s="37">
        <v>5128048.932</v>
      </c>
      <c r="H17" s="37">
        <v>10845858.731547</v>
      </c>
      <c r="I17" s="37">
        <v>15973907.663547</v>
      </c>
    </row>
    <row r="18" spans="2:9" ht="18" customHeight="1" x14ac:dyDescent="0.25">
      <c r="B18" s="18" t="s">
        <v>17</v>
      </c>
      <c r="C18" s="42" t="s">
        <v>103</v>
      </c>
      <c r="D18" s="46" t="s">
        <v>104</v>
      </c>
      <c r="E18" s="42" t="s">
        <v>105</v>
      </c>
      <c r="F18" s="19">
        <v>85</v>
      </c>
      <c r="G18" s="35">
        <v>43632.048</v>
      </c>
      <c r="H18" s="35">
        <v>14232.916564</v>
      </c>
      <c r="I18" s="35">
        <v>57864.964564</v>
      </c>
    </row>
    <row r="19" spans="2:9" ht="18" customHeight="1" x14ac:dyDescent="0.25">
      <c r="B19" s="22" t="s">
        <v>17</v>
      </c>
      <c r="C19" s="44" t="s">
        <v>50</v>
      </c>
      <c r="D19" s="47" t="s">
        <v>51</v>
      </c>
      <c r="E19" s="44" t="s">
        <v>52</v>
      </c>
      <c r="F19" s="23">
        <v>39735</v>
      </c>
      <c r="G19" s="37">
        <v>20396699.132</v>
      </c>
      <c r="H19" s="37">
        <v>43403265.904554</v>
      </c>
      <c r="I19" s="37">
        <v>63799965.036554</v>
      </c>
    </row>
    <row r="20" spans="2:9" ht="18" customHeight="1" x14ac:dyDescent="0.25">
      <c r="B20" s="18" t="s">
        <v>17</v>
      </c>
      <c r="C20" s="42" t="s">
        <v>68</v>
      </c>
      <c r="D20" s="46" t="s">
        <v>69</v>
      </c>
      <c r="E20" s="42" t="s">
        <v>59</v>
      </c>
      <c r="F20" s="19">
        <v>4233</v>
      </c>
      <c r="G20" s="35">
        <v>2172875.989</v>
      </c>
      <c r="H20" s="35">
        <v>4709204.846317</v>
      </c>
      <c r="I20" s="35">
        <v>6882080.835317</v>
      </c>
    </row>
    <row r="21" spans="2:9" ht="18" customHeight="1" x14ac:dyDescent="0.25">
      <c r="B21" s="22" t="s">
        <v>17</v>
      </c>
      <c r="C21" s="44" t="s">
        <v>66</v>
      </c>
      <c r="D21" s="47" t="s">
        <v>67</v>
      </c>
      <c r="E21" s="44" t="s">
        <v>59</v>
      </c>
      <c r="F21" s="23">
        <v>4584</v>
      </c>
      <c r="G21" s="37">
        <v>2353050.681</v>
      </c>
      <c r="H21" s="37">
        <v>5021243.269642</v>
      </c>
      <c r="I21" s="37">
        <v>7374293.950642</v>
      </c>
    </row>
    <row r="22" spans="2:9" ht="18" customHeight="1" x14ac:dyDescent="0.25">
      <c r="B22" s="18" t="s">
        <v>17</v>
      </c>
      <c r="C22" s="42" t="s">
        <v>55</v>
      </c>
      <c r="D22" s="46" t="s">
        <v>56</v>
      </c>
      <c r="E22" s="42" t="s">
        <v>52</v>
      </c>
      <c r="F22" s="19">
        <v>13872</v>
      </c>
      <c r="G22" s="35">
        <v>7120750.23</v>
      </c>
      <c r="H22" s="35">
        <v>14855782.368556</v>
      </c>
      <c r="I22" s="35">
        <v>21976532.598556</v>
      </c>
    </row>
    <row r="23" spans="2:9" ht="18" customHeight="1" x14ac:dyDescent="0.25">
      <c r="B23" s="22" t="s">
        <v>17</v>
      </c>
      <c r="C23" s="44" t="s">
        <v>53</v>
      </c>
      <c r="D23" s="47" t="s">
        <v>54</v>
      </c>
      <c r="E23" s="44" t="s">
        <v>52</v>
      </c>
      <c r="F23" s="23">
        <v>22858</v>
      </c>
      <c r="G23" s="37">
        <v>11733427.679</v>
      </c>
      <c r="H23" s="37">
        <v>23512368.833607</v>
      </c>
      <c r="I23" s="37">
        <v>35245796.512607</v>
      </c>
    </row>
    <row r="24" spans="2:9" ht="18" customHeight="1" x14ac:dyDescent="0.25">
      <c r="B24" s="18" t="s">
        <v>17</v>
      </c>
      <c r="C24" s="42" t="s">
        <v>82</v>
      </c>
      <c r="D24" s="46" t="s">
        <v>83</v>
      </c>
      <c r="E24" s="42" t="s">
        <v>84</v>
      </c>
      <c r="F24" s="19">
        <v>3008</v>
      </c>
      <c r="G24" s="35">
        <v>1544061.182</v>
      </c>
      <c r="H24" s="35">
        <v>3600665.561539</v>
      </c>
      <c r="I24" s="35">
        <v>5144726.743539</v>
      </c>
    </row>
    <row r="25" spans="2:9" ht="18" customHeight="1" x14ac:dyDescent="0.25">
      <c r="B25" s="22" t="s">
        <v>17</v>
      </c>
      <c r="C25" s="44" t="s">
        <v>93</v>
      </c>
      <c r="D25" s="47" t="s">
        <v>94</v>
      </c>
      <c r="E25" s="44" t="s">
        <v>84</v>
      </c>
      <c r="F25" s="23">
        <v>2384</v>
      </c>
      <c r="G25" s="37">
        <v>1223750.616</v>
      </c>
      <c r="H25" s="37">
        <v>3317835.101417</v>
      </c>
      <c r="I25" s="37">
        <v>4541585.717417</v>
      </c>
    </row>
    <row r="26" spans="2:9" ht="18" customHeight="1" x14ac:dyDescent="0.25">
      <c r="B26" s="18" t="s">
        <v>17</v>
      </c>
      <c r="C26" s="42" t="s">
        <v>89</v>
      </c>
      <c r="D26" s="46" t="s">
        <v>90</v>
      </c>
      <c r="E26" s="42" t="s">
        <v>84</v>
      </c>
      <c r="F26" s="19">
        <v>3034</v>
      </c>
      <c r="G26" s="35">
        <v>1557407.453</v>
      </c>
      <c r="H26" s="35">
        <v>3184846.539388</v>
      </c>
      <c r="I26" s="35">
        <v>4742253.992388</v>
      </c>
    </row>
    <row r="27" spans="2:9" ht="18" customHeight="1" x14ac:dyDescent="0.25">
      <c r="B27" s="22" t="s">
        <v>17</v>
      </c>
      <c r="C27" s="44" t="s">
        <v>95</v>
      </c>
      <c r="D27" s="47" t="s">
        <v>96</v>
      </c>
      <c r="E27" s="44" t="s">
        <v>84</v>
      </c>
      <c r="F27" s="23">
        <v>1831</v>
      </c>
      <c r="G27" s="37">
        <v>939885.645</v>
      </c>
      <c r="H27" s="37">
        <v>2232967.563416</v>
      </c>
      <c r="I27" s="37">
        <v>3172853.208416</v>
      </c>
    </row>
    <row r="28" spans="2:9" ht="18" customHeight="1" x14ac:dyDescent="0.25">
      <c r="B28" s="18" t="s">
        <v>17</v>
      </c>
      <c r="C28" s="42" t="s">
        <v>57</v>
      </c>
      <c r="D28" s="46" t="s">
        <v>58</v>
      </c>
      <c r="E28" s="42" t="s">
        <v>59</v>
      </c>
      <c r="F28" s="19">
        <v>12862</v>
      </c>
      <c r="G28" s="35">
        <v>6602298.84</v>
      </c>
      <c r="H28" s="35">
        <v>14410755.825078</v>
      </c>
      <c r="I28" s="35">
        <v>21013054.665078</v>
      </c>
    </row>
    <row r="29" spans="2:9" ht="18" customHeight="1" x14ac:dyDescent="0.25">
      <c r="B29" s="22" t="s">
        <v>17</v>
      </c>
      <c r="C29" s="44" t="s">
        <v>72</v>
      </c>
      <c r="D29" s="47" t="s">
        <v>73</v>
      </c>
      <c r="E29" s="44" t="s">
        <v>52</v>
      </c>
      <c r="F29" s="23">
        <v>5832</v>
      </c>
      <c r="G29" s="37">
        <v>2993671.812</v>
      </c>
      <c r="H29" s="37">
        <v>6375070.581761</v>
      </c>
      <c r="I29" s="37">
        <v>9368742.393761</v>
      </c>
    </row>
    <row r="30" spans="2:9" ht="18" customHeight="1" x14ac:dyDescent="0.25">
      <c r="B30" s="18" t="s">
        <v>17</v>
      </c>
      <c r="C30" s="42" t="s">
        <v>78</v>
      </c>
      <c r="D30" s="46" t="s">
        <v>79</v>
      </c>
      <c r="E30" s="42" t="s">
        <v>52</v>
      </c>
      <c r="F30" s="19">
        <v>6068</v>
      </c>
      <c r="G30" s="35">
        <v>3114814.908</v>
      </c>
      <c r="H30" s="35">
        <v>6042143.885338</v>
      </c>
      <c r="I30" s="35">
        <v>9156958.793338001</v>
      </c>
    </row>
    <row r="31" spans="2:9" ht="18" customHeight="1" x14ac:dyDescent="0.25">
      <c r="B31" s="22" t="s">
        <v>17</v>
      </c>
      <c r="C31" s="44" t="s">
        <v>85</v>
      </c>
      <c r="D31" s="47" t="s">
        <v>86</v>
      </c>
      <c r="E31" s="44" t="s">
        <v>84</v>
      </c>
      <c r="F31" s="23">
        <v>3353</v>
      </c>
      <c r="G31" s="37">
        <v>1721155.963</v>
      </c>
      <c r="H31" s="37">
        <v>3489094.763976</v>
      </c>
      <c r="I31" s="37">
        <v>5210250.726976</v>
      </c>
    </row>
    <row r="32" spans="2:9" ht="18" customHeight="1" x14ac:dyDescent="0.25">
      <c r="B32" s="18" t="s">
        <v>17</v>
      </c>
      <c r="C32" s="42" t="s">
        <v>74</v>
      </c>
      <c r="D32" s="46" t="s">
        <v>75</v>
      </c>
      <c r="E32" s="42" t="s">
        <v>59</v>
      </c>
      <c r="F32" s="19">
        <v>3559</v>
      </c>
      <c r="G32" s="35">
        <v>1826899.516</v>
      </c>
      <c r="H32" s="35">
        <v>3910753.841332</v>
      </c>
      <c r="I32" s="35">
        <v>5737653.357332</v>
      </c>
    </row>
    <row r="33" spans="2:9" ht="18" customHeight="1" x14ac:dyDescent="0.25">
      <c r="B33" s="22" t="s">
        <v>17</v>
      </c>
      <c r="C33" s="44" t="s">
        <v>97</v>
      </c>
      <c r="D33" s="47" t="s">
        <v>98</v>
      </c>
      <c r="E33" s="44" t="s">
        <v>84</v>
      </c>
      <c r="F33" s="23">
        <v>1604</v>
      </c>
      <c r="G33" s="37">
        <v>823362.409</v>
      </c>
      <c r="H33" s="37">
        <v>1931900.237263</v>
      </c>
      <c r="I33" s="37">
        <v>2755262.646263</v>
      </c>
    </row>
    <row r="34" spans="2:9" ht="18" customHeight="1" x14ac:dyDescent="0.25">
      <c r="B34" s="18" t="s">
        <v>17</v>
      </c>
      <c r="C34" s="42" t="s">
        <v>100</v>
      </c>
      <c r="D34" s="46" t="s">
        <v>101</v>
      </c>
      <c r="E34" s="42" t="s">
        <v>102</v>
      </c>
      <c r="F34" s="19">
        <v>16</v>
      </c>
      <c r="G34" s="35">
        <v>8213.091</v>
      </c>
      <c r="H34" s="35">
        <v>4373.29617</v>
      </c>
      <c r="I34" s="35">
        <v>12586.38717</v>
      </c>
    </row>
    <row r="35" spans="2:9" ht="18" customHeight="1" x14ac:dyDescent="0.25">
      <c r="B35" s="22" t="s">
        <v>19</v>
      </c>
      <c r="C35" s="44" t="s">
        <v>70</v>
      </c>
      <c r="D35" s="47" t="s">
        <v>71</v>
      </c>
      <c r="E35" s="44" t="s">
        <v>59</v>
      </c>
      <c r="F35" s="23">
        <v>1411</v>
      </c>
      <c r="G35" s="37">
        <v>3012486.393</v>
      </c>
      <c r="H35" s="37">
        <v>8033782.313921</v>
      </c>
      <c r="I35" s="37">
        <v>11046268.706921</v>
      </c>
    </row>
    <row r="36" spans="2:9" ht="18" customHeight="1" x14ac:dyDescent="0.25">
      <c r="B36" s="18" t="s">
        <v>19</v>
      </c>
      <c r="C36" s="42" t="s">
        <v>80</v>
      </c>
      <c r="D36" s="46" t="s">
        <v>81</v>
      </c>
      <c r="E36" s="42" t="s">
        <v>59</v>
      </c>
      <c r="F36" s="19">
        <v>918</v>
      </c>
      <c r="G36" s="35">
        <v>1959930.9</v>
      </c>
      <c r="H36" s="35">
        <v>4917765.057927</v>
      </c>
      <c r="I36" s="35">
        <v>6877695.957927</v>
      </c>
    </row>
    <row r="37" spans="2:9" ht="18" customHeight="1" x14ac:dyDescent="0.25">
      <c r="B37" s="22" t="s">
        <v>19</v>
      </c>
      <c r="C37" s="44" t="s">
        <v>91</v>
      </c>
      <c r="D37" s="47" t="s">
        <v>92</v>
      </c>
      <c r="E37" s="44" t="s">
        <v>59</v>
      </c>
      <c r="F37" s="23">
        <v>414</v>
      </c>
      <c r="G37" s="37">
        <v>883890.409</v>
      </c>
      <c r="H37" s="37">
        <v>2433378.37564</v>
      </c>
      <c r="I37" s="37">
        <v>3317268.78464</v>
      </c>
    </row>
    <row r="38" spans="2:9" ht="18" customHeight="1" x14ac:dyDescent="0.25">
      <c r="B38" s="18" t="s">
        <v>19</v>
      </c>
      <c r="C38" s="42" t="s">
        <v>87</v>
      </c>
      <c r="D38" s="46" t="s">
        <v>88</v>
      </c>
      <c r="E38" s="42" t="s">
        <v>59</v>
      </c>
      <c r="F38" s="19">
        <v>867</v>
      </c>
      <c r="G38" s="35">
        <v>1851045.852</v>
      </c>
      <c r="H38" s="35">
        <v>4882216.209155</v>
      </c>
      <c r="I38" s="35">
        <v>6733262.061155</v>
      </c>
    </row>
    <row r="39" spans="2:9" ht="18" customHeight="1" x14ac:dyDescent="0.25">
      <c r="B39" s="22" t="s">
        <v>19</v>
      </c>
      <c r="C39" s="44" t="s">
        <v>62</v>
      </c>
      <c r="D39" s="47" t="s">
        <v>63</v>
      </c>
      <c r="E39" s="44" t="s">
        <v>59</v>
      </c>
      <c r="F39" s="23">
        <v>1318</v>
      </c>
      <c r="G39" s="37">
        <v>2813931.295</v>
      </c>
      <c r="H39" s="37">
        <v>7312655.923806</v>
      </c>
      <c r="I39" s="37">
        <v>10126587.218806</v>
      </c>
    </row>
    <row r="40" spans="2:9" ht="18" customHeight="1" x14ac:dyDescent="0.25">
      <c r="B40" s="18" t="s">
        <v>19</v>
      </c>
      <c r="C40" s="42" t="s">
        <v>64</v>
      </c>
      <c r="D40" s="46" t="s">
        <v>65</v>
      </c>
      <c r="E40" s="42" t="s">
        <v>59</v>
      </c>
      <c r="F40" s="19">
        <v>1121</v>
      </c>
      <c r="G40" s="35">
        <v>2393336.099</v>
      </c>
      <c r="H40" s="35">
        <v>6003614.248248</v>
      </c>
      <c r="I40" s="35">
        <v>8396950.347247999</v>
      </c>
    </row>
    <row r="41" spans="2:9" ht="18" customHeight="1" x14ac:dyDescent="0.25">
      <c r="B41" s="22" t="s">
        <v>19</v>
      </c>
      <c r="C41" s="44" t="s">
        <v>76</v>
      </c>
      <c r="D41" s="47" t="s">
        <v>77</v>
      </c>
      <c r="E41" s="44" t="s">
        <v>52</v>
      </c>
      <c r="F41" s="23">
        <v>3179</v>
      </c>
      <c r="G41" s="37">
        <v>6787168.118</v>
      </c>
      <c r="H41" s="37">
        <v>16934425.571286</v>
      </c>
      <c r="I41" s="37">
        <v>23721593.689286</v>
      </c>
    </row>
    <row r="42" spans="2:9" ht="18" customHeight="1" x14ac:dyDescent="0.25">
      <c r="B42" s="18" t="s">
        <v>19</v>
      </c>
      <c r="C42" s="42" t="s">
        <v>60</v>
      </c>
      <c r="D42" s="46" t="s">
        <v>61</v>
      </c>
      <c r="E42" s="42" t="s">
        <v>52</v>
      </c>
      <c r="F42" s="19">
        <v>1875</v>
      </c>
      <c r="G42" s="35">
        <v>4003126.839</v>
      </c>
      <c r="H42" s="35">
        <v>10610200.236572</v>
      </c>
      <c r="I42" s="35">
        <v>14613327.075572</v>
      </c>
    </row>
    <row r="43" spans="2:9" ht="18" customHeight="1" x14ac:dyDescent="0.25">
      <c r="B43" s="22" t="s">
        <v>19</v>
      </c>
      <c r="C43" s="44" t="s">
        <v>103</v>
      </c>
      <c r="D43" s="47" t="s">
        <v>104</v>
      </c>
      <c r="E43" s="44" t="s">
        <v>105</v>
      </c>
      <c r="F43" s="23">
        <v>30</v>
      </c>
      <c r="G43" s="37">
        <v>64050.03</v>
      </c>
      <c r="H43" s="37">
        <v>132014.169796</v>
      </c>
      <c r="I43" s="37">
        <v>196064.199796</v>
      </c>
    </row>
    <row r="44" spans="2:9" ht="18" customHeight="1" x14ac:dyDescent="0.25">
      <c r="B44" s="18" t="s">
        <v>19</v>
      </c>
      <c r="C44" s="42" t="s">
        <v>50</v>
      </c>
      <c r="D44" s="46" t="s">
        <v>51</v>
      </c>
      <c r="E44" s="42" t="s">
        <v>52</v>
      </c>
      <c r="F44" s="19">
        <v>11319</v>
      </c>
      <c r="G44" s="35">
        <v>24166076.066</v>
      </c>
      <c r="H44" s="35">
        <v>59144717.75495</v>
      </c>
      <c r="I44" s="35">
        <v>83310793.82095</v>
      </c>
    </row>
    <row r="45" spans="2:9" ht="18" customHeight="1" x14ac:dyDescent="0.25">
      <c r="B45" s="22" t="s">
        <v>19</v>
      </c>
      <c r="C45" s="44" t="s">
        <v>68</v>
      </c>
      <c r="D45" s="47" t="s">
        <v>69</v>
      </c>
      <c r="E45" s="44" t="s">
        <v>59</v>
      </c>
      <c r="F45" s="23">
        <v>1261</v>
      </c>
      <c r="G45" s="37">
        <v>2692236.238</v>
      </c>
      <c r="H45" s="37">
        <v>7311702.17084</v>
      </c>
      <c r="I45" s="37">
        <v>10003938.40884</v>
      </c>
    </row>
    <row r="46" spans="2:9" ht="18" customHeight="1" x14ac:dyDescent="0.25">
      <c r="B46" s="18" t="s">
        <v>19</v>
      </c>
      <c r="C46" s="42" t="s">
        <v>66</v>
      </c>
      <c r="D46" s="46" t="s">
        <v>67</v>
      </c>
      <c r="E46" s="42" t="s">
        <v>59</v>
      </c>
      <c r="F46" s="19">
        <v>2532</v>
      </c>
      <c r="G46" s="35">
        <v>5405822.488</v>
      </c>
      <c r="H46" s="35">
        <v>13879055.881531</v>
      </c>
      <c r="I46" s="35">
        <v>19284878.369531</v>
      </c>
    </row>
    <row r="47" spans="2:9" ht="18" customHeight="1" x14ac:dyDescent="0.25">
      <c r="B47" s="22" t="s">
        <v>19</v>
      </c>
      <c r="C47" s="44" t="s">
        <v>55</v>
      </c>
      <c r="D47" s="47" t="s">
        <v>56</v>
      </c>
      <c r="E47" s="44" t="s">
        <v>52</v>
      </c>
      <c r="F47" s="23">
        <v>4326</v>
      </c>
      <c r="G47" s="37">
        <v>9236014.231000001</v>
      </c>
      <c r="H47" s="37">
        <v>24606893.249229</v>
      </c>
      <c r="I47" s="37">
        <v>33842907.480229</v>
      </c>
    </row>
    <row r="48" spans="2:9" ht="18" customHeight="1" x14ac:dyDescent="0.25">
      <c r="B48" s="18" t="s">
        <v>19</v>
      </c>
      <c r="C48" s="42" t="s">
        <v>53</v>
      </c>
      <c r="D48" s="46" t="s">
        <v>54</v>
      </c>
      <c r="E48" s="42" t="s">
        <v>52</v>
      </c>
      <c r="F48" s="19">
        <v>7615</v>
      </c>
      <c r="G48" s="35">
        <v>16258032.445</v>
      </c>
      <c r="H48" s="35">
        <v>41929444.851764</v>
      </c>
      <c r="I48" s="35">
        <v>58187477.296764</v>
      </c>
    </row>
    <row r="49" spans="2:9" ht="18" customHeight="1" x14ac:dyDescent="0.25">
      <c r="B49" s="22" t="s">
        <v>19</v>
      </c>
      <c r="C49" s="44" t="s">
        <v>82</v>
      </c>
      <c r="D49" s="47" t="s">
        <v>83</v>
      </c>
      <c r="E49" s="44" t="s">
        <v>84</v>
      </c>
      <c r="F49" s="23">
        <v>602</v>
      </c>
      <c r="G49" s="37">
        <v>1285270.597</v>
      </c>
      <c r="H49" s="37">
        <v>3537543.314789</v>
      </c>
      <c r="I49" s="37">
        <v>4822813.911789</v>
      </c>
    </row>
    <row r="50" spans="2:9" ht="18" customHeight="1" x14ac:dyDescent="0.25">
      <c r="B50" s="18" t="s">
        <v>19</v>
      </c>
      <c r="C50" s="42" t="s">
        <v>93</v>
      </c>
      <c r="D50" s="46" t="s">
        <v>94</v>
      </c>
      <c r="E50" s="42" t="s">
        <v>84</v>
      </c>
      <c r="F50" s="19">
        <v>533</v>
      </c>
      <c r="G50" s="35">
        <v>1137955.521</v>
      </c>
      <c r="H50" s="35">
        <v>2787688.434004</v>
      </c>
      <c r="I50" s="35">
        <v>3925643.955004</v>
      </c>
    </row>
    <row r="51" spans="2:9" ht="18" customHeight="1" x14ac:dyDescent="0.25">
      <c r="B51" s="22" t="s">
        <v>19</v>
      </c>
      <c r="C51" s="44" t="s">
        <v>89</v>
      </c>
      <c r="D51" s="47" t="s">
        <v>90</v>
      </c>
      <c r="E51" s="44" t="s">
        <v>84</v>
      </c>
      <c r="F51" s="23">
        <v>480</v>
      </c>
      <c r="G51" s="37">
        <v>1024800.475</v>
      </c>
      <c r="H51" s="37">
        <v>2801017.762538</v>
      </c>
      <c r="I51" s="37">
        <v>3825818.237538</v>
      </c>
    </row>
    <row r="52" spans="2:9" ht="18" customHeight="1" x14ac:dyDescent="0.25">
      <c r="B52" s="18" t="s">
        <v>19</v>
      </c>
      <c r="C52" s="42" t="s">
        <v>95</v>
      </c>
      <c r="D52" s="46" t="s">
        <v>96</v>
      </c>
      <c r="E52" s="42" t="s">
        <v>84</v>
      </c>
      <c r="F52" s="19">
        <v>576</v>
      </c>
      <c r="G52" s="35">
        <v>1229760.566</v>
      </c>
      <c r="H52" s="35">
        <v>2998208.132993</v>
      </c>
      <c r="I52" s="35">
        <v>4227968.698993</v>
      </c>
    </row>
    <row r="53" spans="2:9" ht="18" customHeight="1" x14ac:dyDescent="0.25">
      <c r="B53" s="22" t="s">
        <v>19</v>
      </c>
      <c r="C53" s="44" t="s">
        <v>57</v>
      </c>
      <c r="D53" s="47" t="s">
        <v>58</v>
      </c>
      <c r="E53" s="44" t="s">
        <v>59</v>
      </c>
      <c r="F53" s="23">
        <v>4984</v>
      </c>
      <c r="G53" s="37">
        <v>10640844.88</v>
      </c>
      <c r="H53" s="37">
        <v>25709422.590559</v>
      </c>
      <c r="I53" s="37">
        <v>36350267.470559</v>
      </c>
    </row>
    <row r="54" spans="2:9" ht="18" customHeight="1" x14ac:dyDescent="0.25">
      <c r="B54" s="18" t="s">
        <v>19</v>
      </c>
      <c r="C54" s="42" t="s">
        <v>72</v>
      </c>
      <c r="D54" s="46" t="s">
        <v>73</v>
      </c>
      <c r="E54" s="42" t="s">
        <v>52</v>
      </c>
      <c r="F54" s="19">
        <v>976</v>
      </c>
      <c r="G54" s="35">
        <v>2083760.957</v>
      </c>
      <c r="H54" s="35">
        <v>5835402.341021</v>
      </c>
      <c r="I54" s="35">
        <v>7919163.298021</v>
      </c>
    </row>
    <row r="55" spans="2:9" ht="18" customHeight="1" x14ac:dyDescent="0.25">
      <c r="B55" s="22" t="s">
        <v>19</v>
      </c>
      <c r="C55" s="44" t="s">
        <v>78</v>
      </c>
      <c r="D55" s="47" t="s">
        <v>79</v>
      </c>
      <c r="E55" s="44" t="s">
        <v>52</v>
      </c>
      <c r="F55" s="23">
        <v>1372</v>
      </c>
      <c r="G55" s="37">
        <v>2929221.343</v>
      </c>
      <c r="H55" s="37">
        <v>8130998.630763</v>
      </c>
      <c r="I55" s="37">
        <v>11060219.973763</v>
      </c>
    </row>
    <row r="56" spans="2:9" ht="18" customHeight="1" x14ac:dyDescent="0.25">
      <c r="B56" s="18" t="s">
        <v>19</v>
      </c>
      <c r="C56" s="42" t="s">
        <v>85</v>
      </c>
      <c r="D56" s="46" t="s">
        <v>86</v>
      </c>
      <c r="E56" s="42" t="s">
        <v>84</v>
      </c>
      <c r="F56" s="19">
        <v>1041</v>
      </c>
      <c r="G56" s="35">
        <v>2222536.022</v>
      </c>
      <c r="H56" s="35">
        <v>5612614.051338</v>
      </c>
      <c r="I56" s="35">
        <v>7835150.073338</v>
      </c>
    </row>
    <row r="57" spans="2:9" ht="18" customHeight="1" x14ac:dyDescent="0.25">
      <c r="B57" s="22" t="s">
        <v>19</v>
      </c>
      <c r="C57" s="44" t="s">
        <v>74</v>
      </c>
      <c r="D57" s="47" t="s">
        <v>75</v>
      </c>
      <c r="E57" s="44" t="s">
        <v>59</v>
      </c>
      <c r="F57" s="23">
        <v>932</v>
      </c>
      <c r="G57" s="37">
        <v>1989820.917</v>
      </c>
      <c r="H57" s="37">
        <v>5195254.847439</v>
      </c>
      <c r="I57" s="37">
        <v>7185075.764439</v>
      </c>
    </row>
    <row r="58" spans="2:9" ht="18" customHeight="1" x14ac:dyDescent="0.25">
      <c r="B58" s="18" t="s">
        <v>19</v>
      </c>
      <c r="C58" s="42" t="s">
        <v>97</v>
      </c>
      <c r="D58" s="46" t="s">
        <v>98</v>
      </c>
      <c r="E58" s="42" t="s">
        <v>84</v>
      </c>
      <c r="F58" s="19">
        <v>447</v>
      </c>
      <c r="G58" s="35">
        <v>954345.441</v>
      </c>
      <c r="H58" s="35">
        <v>2796021.80889</v>
      </c>
      <c r="I58" s="35">
        <v>3750367.24989</v>
      </c>
    </row>
    <row r="59" spans="2:9" ht="18" customHeight="1" x14ac:dyDescent="0.25">
      <c r="B59" s="22" t="s">
        <v>19</v>
      </c>
      <c r="C59" s="44" t="s">
        <v>100</v>
      </c>
      <c r="D59" s="47" t="s">
        <v>101</v>
      </c>
      <c r="E59" s="44" t="s">
        <v>102</v>
      </c>
      <c r="F59" s="23">
        <v>0</v>
      </c>
      <c r="G59" s="37">
        <v>0</v>
      </c>
      <c r="H59" s="37">
        <v>0</v>
      </c>
      <c r="I59" s="37">
        <v>0</v>
      </c>
    </row>
    <row r="60" spans="2:9" ht="18" customHeight="1" x14ac:dyDescent="0.25">
      <c r="B60" s="18" t="s">
        <v>14</v>
      </c>
      <c r="C60" s="42" t="s">
        <v>70</v>
      </c>
      <c r="D60" s="46" t="s">
        <v>71</v>
      </c>
      <c r="E60" s="42" t="s">
        <v>59</v>
      </c>
      <c r="F60" s="19">
        <v>22479</v>
      </c>
      <c r="G60" s="35">
        <v>9812637.892000001</v>
      </c>
      <c r="H60" s="35">
        <v>29514959.474308</v>
      </c>
      <c r="I60" s="35">
        <v>39327597.366308</v>
      </c>
    </row>
    <row r="61" spans="2:9" ht="18" customHeight="1" x14ac:dyDescent="0.25">
      <c r="B61" s="22" t="s">
        <v>14</v>
      </c>
      <c r="C61" s="44" t="s">
        <v>80</v>
      </c>
      <c r="D61" s="47" t="s">
        <v>81</v>
      </c>
      <c r="E61" s="44" t="s">
        <v>59</v>
      </c>
      <c r="F61" s="23">
        <v>14191</v>
      </c>
      <c r="G61" s="37">
        <v>6194721.487</v>
      </c>
      <c r="H61" s="37">
        <v>16795391.608233</v>
      </c>
      <c r="I61" s="37">
        <v>22990113.095233</v>
      </c>
    </row>
    <row r="62" spans="2:9" ht="18" customHeight="1" x14ac:dyDescent="0.25">
      <c r="B62" s="18" t="s">
        <v>14</v>
      </c>
      <c r="C62" s="42" t="s">
        <v>91</v>
      </c>
      <c r="D62" s="46" t="s">
        <v>92</v>
      </c>
      <c r="E62" s="42" t="s">
        <v>59</v>
      </c>
      <c r="F62" s="19">
        <v>9216</v>
      </c>
      <c r="G62" s="35">
        <v>4023011.293</v>
      </c>
      <c r="H62" s="35">
        <v>10806914.844807</v>
      </c>
      <c r="I62" s="35">
        <v>14829926.137807</v>
      </c>
    </row>
    <row r="63" spans="2:9" ht="18" customHeight="1" x14ac:dyDescent="0.25">
      <c r="B63" s="22" t="s">
        <v>14</v>
      </c>
      <c r="C63" s="44" t="s">
        <v>87</v>
      </c>
      <c r="D63" s="47" t="s">
        <v>88</v>
      </c>
      <c r="E63" s="44" t="s">
        <v>59</v>
      </c>
      <c r="F63" s="23">
        <v>11086</v>
      </c>
      <c r="G63" s="37">
        <v>4839312.409</v>
      </c>
      <c r="H63" s="37">
        <v>14144846.494975</v>
      </c>
      <c r="I63" s="37">
        <v>18984158.903975</v>
      </c>
    </row>
    <row r="64" spans="2:9" ht="18" customHeight="1" x14ac:dyDescent="0.25">
      <c r="B64" s="18" t="s">
        <v>14</v>
      </c>
      <c r="C64" s="42" t="s">
        <v>62</v>
      </c>
      <c r="D64" s="46" t="s">
        <v>63</v>
      </c>
      <c r="E64" s="42" t="s">
        <v>59</v>
      </c>
      <c r="F64" s="19">
        <v>25273</v>
      </c>
      <c r="G64" s="35">
        <v>11032287.798</v>
      </c>
      <c r="H64" s="35">
        <v>28128332.820372</v>
      </c>
      <c r="I64" s="35">
        <v>39160620.618372</v>
      </c>
    </row>
    <row r="65" spans="2:9" ht="18" customHeight="1" x14ac:dyDescent="0.25">
      <c r="B65" s="22" t="s">
        <v>14</v>
      </c>
      <c r="C65" s="44" t="s">
        <v>64</v>
      </c>
      <c r="D65" s="47" t="s">
        <v>65</v>
      </c>
      <c r="E65" s="44" t="s">
        <v>59</v>
      </c>
      <c r="F65" s="23">
        <v>25114</v>
      </c>
      <c r="G65" s="37">
        <v>10962880.378</v>
      </c>
      <c r="H65" s="37">
        <v>30783116.291395</v>
      </c>
      <c r="I65" s="37">
        <v>41745996.669395</v>
      </c>
    </row>
    <row r="66" spans="2:9" ht="18" customHeight="1" x14ac:dyDescent="0.25">
      <c r="B66" s="18" t="s">
        <v>14</v>
      </c>
      <c r="C66" s="42" t="s">
        <v>76</v>
      </c>
      <c r="D66" s="46" t="s">
        <v>77</v>
      </c>
      <c r="E66" s="42" t="s">
        <v>52</v>
      </c>
      <c r="F66" s="19">
        <v>19323</v>
      </c>
      <c r="G66" s="35">
        <v>8434966.059</v>
      </c>
      <c r="H66" s="35">
        <v>25942266.831724</v>
      </c>
      <c r="I66" s="35">
        <v>34377232.890724</v>
      </c>
    </row>
    <row r="67" spans="2:9" ht="18" customHeight="1" x14ac:dyDescent="0.25">
      <c r="B67" s="22" t="s">
        <v>14</v>
      </c>
      <c r="C67" s="44" t="s">
        <v>60</v>
      </c>
      <c r="D67" s="47" t="s">
        <v>61</v>
      </c>
      <c r="E67" s="44" t="s">
        <v>52</v>
      </c>
      <c r="F67" s="23">
        <v>31056</v>
      </c>
      <c r="G67" s="37">
        <v>13556709.927</v>
      </c>
      <c r="H67" s="37">
        <v>44331000.706642</v>
      </c>
      <c r="I67" s="37">
        <v>57887710.633642</v>
      </c>
    </row>
    <row r="68" spans="2:9" ht="18" customHeight="1" x14ac:dyDescent="0.25">
      <c r="B68" s="18" t="s">
        <v>14</v>
      </c>
      <c r="C68" s="42" t="s">
        <v>103</v>
      </c>
      <c r="D68" s="46" t="s">
        <v>104</v>
      </c>
      <c r="E68" s="42" t="s">
        <v>105</v>
      </c>
      <c r="F68" s="19">
        <v>60</v>
      </c>
      <c r="G68" s="35">
        <v>26191.481</v>
      </c>
      <c r="H68" s="35">
        <v>43971.9061</v>
      </c>
      <c r="I68" s="35">
        <v>70163.38710000001</v>
      </c>
    </row>
    <row r="69" spans="2:9" ht="18" customHeight="1" x14ac:dyDescent="0.25">
      <c r="B69" s="22" t="s">
        <v>14</v>
      </c>
      <c r="C69" s="44" t="s">
        <v>50</v>
      </c>
      <c r="D69" s="47" t="s">
        <v>51</v>
      </c>
      <c r="E69" s="44" t="s">
        <v>52</v>
      </c>
      <c r="F69" s="23">
        <v>127982</v>
      </c>
      <c r="G69" s="37">
        <v>55867299.377</v>
      </c>
      <c r="H69" s="37">
        <v>185431028.350623</v>
      </c>
      <c r="I69" s="37">
        <v>241298327.727623</v>
      </c>
    </row>
    <row r="70" spans="2:9" ht="18" customHeight="1" x14ac:dyDescent="0.25">
      <c r="B70" s="18" t="s">
        <v>14</v>
      </c>
      <c r="C70" s="42" t="s">
        <v>68</v>
      </c>
      <c r="D70" s="46" t="s">
        <v>69</v>
      </c>
      <c r="E70" s="42" t="s">
        <v>59</v>
      </c>
      <c r="F70" s="19">
        <v>21094</v>
      </c>
      <c r="G70" s="35">
        <v>9208051.233999999</v>
      </c>
      <c r="H70" s="35">
        <v>24955733.176246</v>
      </c>
      <c r="I70" s="35">
        <v>34163784.410246</v>
      </c>
    </row>
    <row r="71" spans="2:9" ht="18" customHeight="1" x14ac:dyDescent="0.25">
      <c r="B71" s="22" t="s">
        <v>14</v>
      </c>
      <c r="C71" s="44" t="s">
        <v>66</v>
      </c>
      <c r="D71" s="47" t="s">
        <v>67</v>
      </c>
      <c r="E71" s="44" t="s">
        <v>59</v>
      </c>
      <c r="F71" s="23">
        <v>21629</v>
      </c>
      <c r="G71" s="37">
        <v>9441591.934</v>
      </c>
      <c r="H71" s="37">
        <v>28536605.623261</v>
      </c>
      <c r="I71" s="37">
        <v>37978197.557261</v>
      </c>
    </row>
    <row r="72" spans="2:9" ht="18" customHeight="1" x14ac:dyDescent="0.25">
      <c r="B72" s="18" t="s">
        <v>14</v>
      </c>
      <c r="C72" s="42" t="s">
        <v>55</v>
      </c>
      <c r="D72" s="46" t="s">
        <v>56</v>
      </c>
      <c r="E72" s="42" t="s">
        <v>52</v>
      </c>
      <c r="F72" s="19">
        <v>57817</v>
      </c>
      <c r="G72" s="35">
        <v>25238546.419</v>
      </c>
      <c r="H72" s="35">
        <v>79881485.367652</v>
      </c>
      <c r="I72" s="35">
        <v>105120031.786652</v>
      </c>
    </row>
    <row r="73" spans="2:9" ht="18" customHeight="1" x14ac:dyDescent="0.25">
      <c r="B73" s="22" t="s">
        <v>14</v>
      </c>
      <c r="C73" s="44" t="s">
        <v>53</v>
      </c>
      <c r="D73" s="47" t="s">
        <v>54</v>
      </c>
      <c r="E73" s="44" t="s">
        <v>52</v>
      </c>
      <c r="F73" s="23">
        <v>95732</v>
      </c>
      <c r="G73" s="37">
        <v>41789379.005</v>
      </c>
      <c r="H73" s="37">
        <v>122046783.079113</v>
      </c>
      <c r="I73" s="37">
        <v>163836162.084113</v>
      </c>
    </row>
    <row r="74" spans="2:9" ht="18" customHeight="1" x14ac:dyDescent="0.25">
      <c r="B74" s="18" t="s">
        <v>14</v>
      </c>
      <c r="C74" s="42" t="s">
        <v>82</v>
      </c>
      <c r="D74" s="46" t="s">
        <v>83</v>
      </c>
      <c r="E74" s="42" t="s">
        <v>84</v>
      </c>
      <c r="F74" s="19">
        <v>9083</v>
      </c>
      <c r="G74" s="35">
        <v>3964953.51</v>
      </c>
      <c r="H74" s="35">
        <v>8249386.268398</v>
      </c>
      <c r="I74" s="35">
        <v>12214339.778398</v>
      </c>
    </row>
    <row r="75" spans="2:9" ht="18" customHeight="1" x14ac:dyDescent="0.25">
      <c r="B75" s="22" t="s">
        <v>14</v>
      </c>
      <c r="C75" s="44" t="s">
        <v>93</v>
      </c>
      <c r="D75" s="47" t="s">
        <v>94</v>
      </c>
      <c r="E75" s="44" t="s">
        <v>84</v>
      </c>
      <c r="F75" s="23">
        <v>7245</v>
      </c>
      <c r="G75" s="37">
        <v>3162621.179</v>
      </c>
      <c r="H75" s="37">
        <v>4767536.38608</v>
      </c>
      <c r="I75" s="37">
        <v>7930157.56508</v>
      </c>
    </row>
    <row r="76" spans="2:9" ht="18" customHeight="1" x14ac:dyDescent="0.25">
      <c r="B76" s="18" t="s">
        <v>14</v>
      </c>
      <c r="C76" s="42" t="s">
        <v>89</v>
      </c>
      <c r="D76" s="46" t="s">
        <v>90</v>
      </c>
      <c r="E76" s="42" t="s">
        <v>84</v>
      </c>
      <c r="F76" s="19">
        <v>6640</v>
      </c>
      <c r="G76" s="35">
        <v>2898523.76</v>
      </c>
      <c r="H76" s="35">
        <v>7453404.308849</v>
      </c>
      <c r="I76" s="35">
        <v>10351928.068849</v>
      </c>
    </row>
    <row r="77" spans="2:9" ht="18" customHeight="1" x14ac:dyDescent="0.25">
      <c r="B77" s="22" t="s">
        <v>14</v>
      </c>
      <c r="C77" s="44" t="s">
        <v>95</v>
      </c>
      <c r="D77" s="47" t="s">
        <v>96</v>
      </c>
      <c r="E77" s="44" t="s">
        <v>84</v>
      </c>
      <c r="F77" s="23">
        <v>3534</v>
      </c>
      <c r="G77" s="37">
        <v>1542678.156</v>
      </c>
      <c r="H77" s="37">
        <v>2826166.502041</v>
      </c>
      <c r="I77" s="37">
        <v>4368844.658041</v>
      </c>
    </row>
    <row r="78" spans="2:9" ht="18" customHeight="1" x14ac:dyDescent="0.25">
      <c r="B78" s="18" t="s">
        <v>14</v>
      </c>
      <c r="C78" s="42" t="s">
        <v>57</v>
      </c>
      <c r="D78" s="46" t="s">
        <v>58</v>
      </c>
      <c r="E78" s="42" t="s">
        <v>59</v>
      </c>
      <c r="F78" s="19">
        <v>35447</v>
      </c>
      <c r="G78" s="35">
        <v>15473489.719</v>
      </c>
      <c r="H78" s="35">
        <v>44034166.501499</v>
      </c>
      <c r="I78" s="35">
        <v>59507656.220499</v>
      </c>
    </row>
    <row r="79" spans="2:9" ht="18" customHeight="1" x14ac:dyDescent="0.25">
      <c r="B79" s="22" t="s">
        <v>14</v>
      </c>
      <c r="C79" s="44" t="s">
        <v>72</v>
      </c>
      <c r="D79" s="47" t="s">
        <v>73</v>
      </c>
      <c r="E79" s="44" t="s">
        <v>52</v>
      </c>
      <c r="F79" s="23">
        <v>22822</v>
      </c>
      <c r="G79" s="37">
        <v>9962365.848999999</v>
      </c>
      <c r="H79" s="37">
        <v>30386084.74713</v>
      </c>
      <c r="I79" s="37">
        <v>40348450.59613</v>
      </c>
    </row>
    <row r="80" spans="2:9" ht="18" customHeight="1" x14ac:dyDescent="0.25">
      <c r="B80" s="18" t="s">
        <v>14</v>
      </c>
      <c r="C80" s="42" t="s">
        <v>78</v>
      </c>
      <c r="D80" s="46" t="s">
        <v>79</v>
      </c>
      <c r="E80" s="42" t="s">
        <v>52</v>
      </c>
      <c r="F80" s="19">
        <v>19839</v>
      </c>
      <c r="G80" s="35">
        <v>8660212.783</v>
      </c>
      <c r="H80" s="35">
        <v>25613756.39232</v>
      </c>
      <c r="I80" s="35">
        <v>34273969.17532</v>
      </c>
    </row>
    <row r="81" spans="2:9" ht="18" customHeight="1" x14ac:dyDescent="0.25">
      <c r="B81" s="22" t="s">
        <v>14</v>
      </c>
      <c r="C81" s="44" t="s">
        <v>85</v>
      </c>
      <c r="D81" s="47" t="s">
        <v>86</v>
      </c>
      <c r="E81" s="44" t="s">
        <v>84</v>
      </c>
      <c r="F81" s="23">
        <v>8149</v>
      </c>
      <c r="G81" s="37">
        <v>3557239.475</v>
      </c>
      <c r="H81" s="37">
        <v>9769850.456504</v>
      </c>
      <c r="I81" s="37">
        <v>13327089.931504</v>
      </c>
    </row>
    <row r="82" spans="2:9" ht="18" customHeight="1" x14ac:dyDescent="0.25">
      <c r="B82" s="18" t="s">
        <v>14</v>
      </c>
      <c r="C82" s="42" t="s">
        <v>74</v>
      </c>
      <c r="D82" s="46" t="s">
        <v>75</v>
      </c>
      <c r="E82" s="42" t="s">
        <v>59</v>
      </c>
      <c r="F82" s="19">
        <v>20072</v>
      </c>
      <c r="G82" s="35">
        <v>8761923.027000001</v>
      </c>
      <c r="H82" s="35">
        <v>23757108.359551</v>
      </c>
      <c r="I82" s="35">
        <v>32519031.386551</v>
      </c>
    </row>
    <row r="83" spans="2:9" ht="18" customHeight="1" x14ac:dyDescent="0.25">
      <c r="B83" s="22" t="s">
        <v>14</v>
      </c>
      <c r="C83" s="44" t="s">
        <v>97</v>
      </c>
      <c r="D83" s="47" t="s">
        <v>98</v>
      </c>
      <c r="E83" s="44" t="s">
        <v>84</v>
      </c>
      <c r="F83" s="23">
        <v>4096</v>
      </c>
      <c r="G83" s="37">
        <v>1788005.018</v>
      </c>
      <c r="H83" s="37">
        <v>4024275.272099</v>
      </c>
      <c r="I83" s="37">
        <v>5812280.290099</v>
      </c>
    </row>
    <row r="84" spans="2:9" ht="18" customHeight="1" x14ac:dyDescent="0.25">
      <c r="B84" s="18" t="s">
        <v>14</v>
      </c>
      <c r="C84" s="42" t="s">
        <v>100</v>
      </c>
      <c r="D84" s="46" t="s">
        <v>101</v>
      </c>
      <c r="E84" s="42" t="s">
        <v>102</v>
      </c>
      <c r="F84" s="19">
        <v>94</v>
      </c>
      <c r="G84" s="35">
        <v>41033.318</v>
      </c>
      <c r="H84" s="35">
        <v>45463.646079</v>
      </c>
      <c r="I84" s="35">
        <v>86496.964079</v>
      </c>
    </row>
    <row r="85" spans="2:9" ht="18" customHeight="1" x14ac:dyDescent="0.25">
      <c r="B85" s="22" t="s">
        <v>33</v>
      </c>
      <c r="C85" s="44" t="s">
        <v>70</v>
      </c>
      <c r="D85" s="47" t="s">
        <v>71</v>
      </c>
      <c r="E85" s="44" t="s">
        <v>59</v>
      </c>
      <c r="F85" s="23">
        <v>9500</v>
      </c>
      <c r="G85" s="37">
        <v>5845589.095</v>
      </c>
      <c r="H85" s="37">
        <v>17617103.437259</v>
      </c>
      <c r="I85" s="37">
        <v>23462692.532259</v>
      </c>
    </row>
    <row r="86" spans="2:9" ht="18" customHeight="1" x14ac:dyDescent="0.25">
      <c r="B86" s="18" t="s">
        <v>33</v>
      </c>
      <c r="C86" s="42" t="s">
        <v>80</v>
      </c>
      <c r="D86" s="46" t="s">
        <v>81</v>
      </c>
      <c r="E86" s="42" t="s">
        <v>59</v>
      </c>
      <c r="F86" s="19">
        <v>8043</v>
      </c>
      <c r="G86" s="35">
        <v>4949060.327</v>
      </c>
      <c r="H86" s="35">
        <v>18297755.822703</v>
      </c>
      <c r="I86" s="35">
        <v>23246816.149703</v>
      </c>
    </row>
    <row r="87" spans="2:9" ht="18" customHeight="1" x14ac:dyDescent="0.25">
      <c r="B87" s="22" t="s">
        <v>33</v>
      </c>
      <c r="C87" s="44" t="s">
        <v>91</v>
      </c>
      <c r="D87" s="47" t="s">
        <v>92</v>
      </c>
      <c r="E87" s="44" t="s">
        <v>59</v>
      </c>
      <c r="F87" s="23">
        <v>3527</v>
      </c>
      <c r="G87" s="37">
        <v>2170251.868</v>
      </c>
      <c r="H87" s="37">
        <v>7735797.491362</v>
      </c>
      <c r="I87" s="37">
        <v>9906049.359362001</v>
      </c>
    </row>
    <row r="88" spans="2:9" ht="18" customHeight="1" x14ac:dyDescent="0.25">
      <c r="B88" s="18" t="s">
        <v>33</v>
      </c>
      <c r="C88" s="42" t="s">
        <v>87</v>
      </c>
      <c r="D88" s="46" t="s">
        <v>88</v>
      </c>
      <c r="E88" s="42" t="s">
        <v>59</v>
      </c>
      <c r="F88" s="19">
        <v>3997</v>
      </c>
      <c r="G88" s="35">
        <v>2459454.698</v>
      </c>
      <c r="H88" s="35">
        <v>8040476.03612</v>
      </c>
      <c r="I88" s="35">
        <v>10499930.73412</v>
      </c>
    </row>
    <row r="89" spans="2:9" ht="18" customHeight="1" x14ac:dyDescent="0.25">
      <c r="B89" s="22" t="s">
        <v>33</v>
      </c>
      <c r="C89" s="44" t="s">
        <v>62</v>
      </c>
      <c r="D89" s="47" t="s">
        <v>63</v>
      </c>
      <c r="E89" s="44" t="s">
        <v>59</v>
      </c>
      <c r="F89" s="23">
        <v>13550</v>
      </c>
      <c r="G89" s="37">
        <v>8337656.025</v>
      </c>
      <c r="H89" s="37">
        <v>32506969.25698</v>
      </c>
      <c r="I89" s="37">
        <v>40844625.28198</v>
      </c>
    </row>
    <row r="90" spans="2:9" ht="18" customHeight="1" x14ac:dyDescent="0.25">
      <c r="B90" s="18" t="s">
        <v>33</v>
      </c>
      <c r="C90" s="42" t="s">
        <v>64</v>
      </c>
      <c r="D90" s="46" t="s">
        <v>65</v>
      </c>
      <c r="E90" s="42" t="s">
        <v>59</v>
      </c>
      <c r="F90" s="19">
        <v>13498</v>
      </c>
      <c r="G90" s="35">
        <v>8305659.122</v>
      </c>
      <c r="H90" s="35">
        <v>28493946.315662</v>
      </c>
      <c r="I90" s="35">
        <v>36799605.437662</v>
      </c>
    </row>
    <row r="91" spans="2:9" ht="18" customHeight="1" x14ac:dyDescent="0.25">
      <c r="B91" s="22" t="s">
        <v>33</v>
      </c>
      <c r="C91" s="44" t="s">
        <v>76</v>
      </c>
      <c r="D91" s="47" t="s">
        <v>77</v>
      </c>
      <c r="E91" s="44" t="s">
        <v>52</v>
      </c>
      <c r="F91" s="23">
        <v>8246</v>
      </c>
      <c r="G91" s="37">
        <v>5073971.339</v>
      </c>
      <c r="H91" s="37">
        <v>11137961.628981</v>
      </c>
      <c r="I91" s="37">
        <v>16211932.967981</v>
      </c>
    </row>
    <row r="92" spans="2:9" ht="18" customHeight="1" x14ac:dyDescent="0.25">
      <c r="B92" s="18" t="s">
        <v>33</v>
      </c>
      <c r="C92" s="42" t="s">
        <v>60</v>
      </c>
      <c r="D92" s="46" t="s">
        <v>61</v>
      </c>
      <c r="E92" s="42" t="s">
        <v>52</v>
      </c>
      <c r="F92" s="19">
        <v>41254</v>
      </c>
      <c r="G92" s="35">
        <v>25384624.487</v>
      </c>
      <c r="H92" s="35">
        <v>51961483.475982</v>
      </c>
      <c r="I92" s="35">
        <v>77346107.962982</v>
      </c>
    </row>
    <row r="93" spans="2:9" ht="18" customHeight="1" x14ac:dyDescent="0.25">
      <c r="B93" s="22" t="s">
        <v>33</v>
      </c>
      <c r="C93" s="44" t="s">
        <v>103</v>
      </c>
      <c r="D93" s="47" t="s">
        <v>104</v>
      </c>
      <c r="E93" s="44" t="s">
        <v>105</v>
      </c>
      <c r="F93" s="23">
        <v>160</v>
      </c>
      <c r="G93" s="37">
        <v>98452.026</v>
      </c>
      <c r="H93" s="37">
        <v>12454.854188</v>
      </c>
      <c r="I93" s="37">
        <v>110906.880188</v>
      </c>
    </row>
    <row r="94" spans="2:9" ht="18" customHeight="1" x14ac:dyDescent="0.25">
      <c r="B94" s="18" t="s">
        <v>33</v>
      </c>
      <c r="C94" s="42" t="s">
        <v>50</v>
      </c>
      <c r="D94" s="46" t="s">
        <v>51</v>
      </c>
      <c r="E94" s="42" t="s">
        <v>52</v>
      </c>
      <c r="F94" s="19">
        <v>70115</v>
      </c>
      <c r="G94" s="35">
        <v>43143524.171</v>
      </c>
      <c r="H94" s="35">
        <v>76278651.814527</v>
      </c>
      <c r="I94" s="35">
        <v>119422175.985527</v>
      </c>
    </row>
    <row r="95" spans="2:9" ht="18" customHeight="1" x14ac:dyDescent="0.25">
      <c r="B95" s="22" t="s">
        <v>33</v>
      </c>
      <c r="C95" s="44" t="s">
        <v>68</v>
      </c>
      <c r="D95" s="47" t="s">
        <v>69</v>
      </c>
      <c r="E95" s="44" t="s">
        <v>59</v>
      </c>
      <c r="F95" s="23">
        <v>12851</v>
      </c>
      <c r="G95" s="37">
        <v>7907543.734</v>
      </c>
      <c r="H95" s="37">
        <v>23502977.133543</v>
      </c>
      <c r="I95" s="37">
        <v>31410520.867543</v>
      </c>
    </row>
    <row r="96" spans="2:9" ht="18" customHeight="1" x14ac:dyDescent="0.25">
      <c r="B96" s="18" t="s">
        <v>33</v>
      </c>
      <c r="C96" s="42" t="s">
        <v>66</v>
      </c>
      <c r="D96" s="46" t="s">
        <v>67</v>
      </c>
      <c r="E96" s="42" t="s">
        <v>59</v>
      </c>
      <c r="F96" s="19">
        <v>13783</v>
      </c>
      <c r="G96" s="35">
        <v>8481026.797</v>
      </c>
      <c r="H96" s="35">
        <v>22921511.822023</v>
      </c>
      <c r="I96" s="35">
        <v>31402538.619023</v>
      </c>
    </row>
    <row r="97" spans="2:9" ht="18" customHeight="1" x14ac:dyDescent="0.25">
      <c r="B97" s="22" t="s">
        <v>33</v>
      </c>
      <c r="C97" s="44" t="s">
        <v>55</v>
      </c>
      <c r="D97" s="47" t="s">
        <v>56</v>
      </c>
      <c r="E97" s="44" t="s">
        <v>52</v>
      </c>
      <c r="F97" s="23">
        <v>25684</v>
      </c>
      <c r="G97" s="37">
        <v>15804011.622</v>
      </c>
      <c r="H97" s="37">
        <v>40666269.829623</v>
      </c>
      <c r="I97" s="37">
        <v>56470281.451623</v>
      </c>
    </row>
    <row r="98" spans="2:9" ht="18" customHeight="1" x14ac:dyDescent="0.25">
      <c r="B98" s="18" t="s">
        <v>33</v>
      </c>
      <c r="C98" s="42" t="s">
        <v>53</v>
      </c>
      <c r="D98" s="46" t="s">
        <v>54</v>
      </c>
      <c r="E98" s="42" t="s">
        <v>52</v>
      </c>
      <c r="F98" s="19">
        <v>42954</v>
      </c>
      <c r="G98" s="35">
        <v>26430677.277</v>
      </c>
      <c r="H98" s="35">
        <v>70935410.385787</v>
      </c>
      <c r="I98" s="35">
        <v>97366087.66278701</v>
      </c>
    </row>
    <row r="99" spans="2:9" ht="18" customHeight="1" x14ac:dyDescent="0.25">
      <c r="B99" s="22" t="s">
        <v>33</v>
      </c>
      <c r="C99" s="44" t="s">
        <v>82</v>
      </c>
      <c r="D99" s="47" t="s">
        <v>83</v>
      </c>
      <c r="E99" s="44" t="s">
        <v>84</v>
      </c>
      <c r="F99" s="23">
        <v>14248</v>
      </c>
      <c r="G99" s="37">
        <v>8767152.997</v>
      </c>
      <c r="H99" s="37">
        <v>30913058.771483</v>
      </c>
      <c r="I99" s="37">
        <v>39680211.768483</v>
      </c>
    </row>
    <row r="100" spans="2:9" ht="18" customHeight="1" x14ac:dyDescent="0.25">
      <c r="B100" s="18" t="s">
        <v>33</v>
      </c>
      <c r="C100" s="42" t="s">
        <v>93</v>
      </c>
      <c r="D100" s="46" t="s">
        <v>94</v>
      </c>
      <c r="E100" s="42" t="s">
        <v>84</v>
      </c>
      <c r="F100" s="19">
        <v>5981</v>
      </c>
      <c r="G100" s="35">
        <v>3680259.831</v>
      </c>
      <c r="H100" s="35">
        <v>16627714.955269</v>
      </c>
      <c r="I100" s="35">
        <v>20307974.786269</v>
      </c>
    </row>
    <row r="101" spans="2:9" ht="18" customHeight="1" x14ac:dyDescent="0.25">
      <c r="B101" s="22" t="s">
        <v>33</v>
      </c>
      <c r="C101" s="44" t="s">
        <v>89</v>
      </c>
      <c r="D101" s="47" t="s">
        <v>90</v>
      </c>
      <c r="E101" s="44" t="s">
        <v>84</v>
      </c>
      <c r="F101" s="23">
        <v>8623</v>
      </c>
      <c r="G101" s="37">
        <v>5305948.923</v>
      </c>
      <c r="H101" s="37">
        <v>15054991.681767</v>
      </c>
      <c r="I101" s="37">
        <v>20360940.604767</v>
      </c>
    </row>
    <row r="102" spans="2:9" ht="18" customHeight="1" x14ac:dyDescent="0.25">
      <c r="B102" s="18" t="s">
        <v>33</v>
      </c>
      <c r="C102" s="42" t="s">
        <v>95</v>
      </c>
      <c r="D102" s="46" t="s">
        <v>96</v>
      </c>
      <c r="E102" s="42" t="s">
        <v>84</v>
      </c>
      <c r="F102" s="19">
        <v>5166</v>
      </c>
      <c r="G102" s="35">
        <v>3178769.817</v>
      </c>
      <c r="H102" s="35">
        <v>10047605.344403</v>
      </c>
      <c r="I102" s="35">
        <v>13226375.161403</v>
      </c>
    </row>
    <row r="103" spans="2:9" ht="18" customHeight="1" x14ac:dyDescent="0.25">
      <c r="B103" s="22" t="s">
        <v>33</v>
      </c>
      <c r="C103" s="44" t="s">
        <v>57</v>
      </c>
      <c r="D103" s="47" t="s">
        <v>58</v>
      </c>
      <c r="E103" s="44" t="s">
        <v>59</v>
      </c>
      <c r="F103" s="23">
        <v>25202</v>
      </c>
      <c r="G103" s="37">
        <v>15507424.892</v>
      </c>
      <c r="H103" s="37">
        <v>26614191.898593</v>
      </c>
      <c r="I103" s="37">
        <v>42121616.790593</v>
      </c>
    </row>
    <row r="104" spans="2:9" ht="18" customHeight="1" x14ac:dyDescent="0.25">
      <c r="B104" s="18" t="s">
        <v>33</v>
      </c>
      <c r="C104" s="42" t="s">
        <v>72</v>
      </c>
      <c r="D104" s="46" t="s">
        <v>73</v>
      </c>
      <c r="E104" s="42" t="s">
        <v>52</v>
      </c>
      <c r="F104" s="19">
        <v>12016</v>
      </c>
      <c r="G104" s="35">
        <v>7393747.222</v>
      </c>
      <c r="H104" s="35">
        <v>19487264.768989</v>
      </c>
      <c r="I104" s="35">
        <v>26881011.990989</v>
      </c>
    </row>
    <row r="105" spans="2:9" ht="18" customHeight="1" x14ac:dyDescent="0.25">
      <c r="B105" s="22" t="s">
        <v>33</v>
      </c>
      <c r="C105" s="44" t="s">
        <v>78</v>
      </c>
      <c r="D105" s="47" t="s">
        <v>79</v>
      </c>
      <c r="E105" s="44" t="s">
        <v>52</v>
      </c>
      <c r="F105" s="23">
        <v>9334</v>
      </c>
      <c r="G105" s="37">
        <v>5743445.119</v>
      </c>
      <c r="H105" s="37">
        <v>16217672.973359</v>
      </c>
      <c r="I105" s="37">
        <v>21961118.092359</v>
      </c>
    </row>
    <row r="106" spans="2:9" ht="18" customHeight="1" x14ac:dyDescent="0.25">
      <c r="B106" s="18" t="s">
        <v>33</v>
      </c>
      <c r="C106" s="42" t="s">
        <v>85</v>
      </c>
      <c r="D106" s="46" t="s">
        <v>86</v>
      </c>
      <c r="E106" s="42" t="s">
        <v>84</v>
      </c>
      <c r="F106" s="19">
        <v>9198</v>
      </c>
      <c r="G106" s="35">
        <v>5659760.896</v>
      </c>
      <c r="H106" s="35">
        <v>12831593.42284</v>
      </c>
      <c r="I106" s="35">
        <v>18491354.31884</v>
      </c>
    </row>
    <row r="107" spans="2:9" ht="18" customHeight="1" x14ac:dyDescent="0.25">
      <c r="B107" s="22" t="s">
        <v>33</v>
      </c>
      <c r="C107" s="44" t="s">
        <v>74</v>
      </c>
      <c r="D107" s="47" t="s">
        <v>75</v>
      </c>
      <c r="E107" s="44" t="s">
        <v>59</v>
      </c>
      <c r="F107" s="23">
        <v>6789</v>
      </c>
      <c r="G107" s="37">
        <v>4177442.567</v>
      </c>
      <c r="H107" s="37">
        <v>15286798.723087</v>
      </c>
      <c r="I107" s="37">
        <v>19464241.290087</v>
      </c>
    </row>
    <row r="108" spans="2:9" ht="18" customHeight="1" x14ac:dyDescent="0.25">
      <c r="B108" s="18" t="s">
        <v>33</v>
      </c>
      <c r="C108" s="42" t="s">
        <v>97</v>
      </c>
      <c r="D108" s="46" t="s">
        <v>98</v>
      </c>
      <c r="E108" s="42" t="s">
        <v>84</v>
      </c>
      <c r="F108" s="19">
        <v>3388</v>
      </c>
      <c r="G108" s="35">
        <v>2084721.672</v>
      </c>
      <c r="H108" s="35">
        <v>6386705.467259</v>
      </c>
      <c r="I108" s="35">
        <v>8471427.139258999</v>
      </c>
    </row>
    <row r="109" spans="2:9" ht="18" customHeight="1" x14ac:dyDescent="0.25">
      <c r="B109" s="22" t="s">
        <v>33</v>
      </c>
      <c r="C109" s="44" t="s">
        <v>100</v>
      </c>
      <c r="D109" s="47" t="s">
        <v>101</v>
      </c>
      <c r="E109" s="44" t="s">
        <v>102</v>
      </c>
      <c r="F109" s="23">
        <v>182</v>
      </c>
      <c r="G109" s="37">
        <v>111989.181</v>
      </c>
      <c r="H109" s="37">
        <v>35956.493209</v>
      </c>
      <c r="I109" s="37">
        <v>147945.674209</v>
      </c>
    </row>
    <row r="110" spans="2:9" ht="18" customHeight="1" x14ac:dyDescent="0.25">
      <c r="B110" s="18" t="s">
        <v>16</v>
      </c>
      <c r="C110" s="42" t="s">
        <v>70</v>
      </c>
      <c r="D110" s="46" t="s">
        <v>71</v>
      </c>
      <c r="E110" s="42" t="s">
        <v>59</v>
      </c>
      <c r="F110" s="19">
        <v>12546</v>
      </c>
      <c r="G110" s="35">
        <v>10703223.93</v>
      </c>
      <c r="H110" s="35">
        <v>31811979.599127</v>
      </c>
      <c r="I110" s="35">
        <v>42515203.529127</v>
      </c>
    </row>
    <row r="111" spans="2:9" ht="18" customHeight="1" x14ac:dyDescent="0.25">
      <c r="B111" s="22" t="s">
        <v>16</v>
      </c>
      <c r="C111" s="44" t="s">
        <v>80</v>
      </c>
      <c r="D111" s="47" t="s">
        <v>81</v>
      </c>
      <c r="E111" s="44" t="s">
        <v>59</v>
      </c>
      <c r="F111" s="23">
        <v>9578</v>
      </c>
      <c r="G111" s="37">
        <v>8171168.407</v>
      </c>
      <c r="H111" s="37">
        <v>23561292.609923</v>
      </c>
      <c r="I111" s="37">
        <v>31732461.016923</v>
      </c>
    </row>
    <row r="112" spans="2:9" ht="18" customHeight="1" x14ac:dyDescent="0.25">
      <c r="B112" s="18" t="s">
        <v>16</v>
      </c>
      <c r="C112" s="42" t="s">
        <v>91</v>
      </c>
      <c r="D112" s="46" t="s">
        <v>92</v>
      </c>
      <c r="E112" s="42" t="s">
        <v>59</v>
      </c>
      <c r="F112" s="19">
        <v>5496</v>
      </c>
      <c r="G112" s="35">
        <v>4688738.939</v>
      </c>
      <c r="H112" s="35">
        <v>13135419.93848</v>
      </c>
      <c r="I112" s="35">
        <v>17824158.87748</v>
      </c>
    </row>
    <row r="113" spans="2:9" ht="18" customHeight="1" x14ac:dyDescent="0.25">
      <c r="B113" s="22" t="s">
        <v>16</v>
      </c>
      <c r="C113" s="44" t="s">
        <v>87</v>
      </c>
      <c r="D113" s="47" t="s">
        <v>88</v>
      </c>
      <c r="E113" s="44" t="s">
        <v>59</v>
      </c>
      <c r="F113" s="23">
        <v>6080</v>
      </c>
      <c r="G113" s="37">
        <v>5186960.107</v>
      </c>
      <c r="H113" s="37">
        <v>15210168.558096</v>
      </c>
      <c r="I113" s="37">
        <v>20397128.665096</v>
      </c>
    </row>
    <row r="114" spans="2:9" ht="18" customHeight="1" x14ac:dyDescent="0.25">
      <c r="B114" s="18" t="s">
        <v>16</v>
      </c>
      <c r="C114" s="42" t="s">
        <v>62</v>
      </c>
      <c r="D114" s="46" t="s">
        <v>63</v>
      </c>
      <c r="E114" s="42" t="s">
        <v>59</v>
      </c>
      <c r="F114" s="19">
        <v>19767</v>
      </c>
      <c r="G114" s="35">
        <v>16863592.181</v>
      </c>
      <c r="H114" s="35">
        <v>46261144.823543</v>
      </c>
      <c r="I114" s="35">
        <v>63124737.004543</v>
      </c>
    </row>
    <row r="115" spans="2:9" ht="18" customHeight="1" x14ac:dyDescent="0.25">
      <c r="B115" s="22" t="s">
        <v>16</v>
      </c>
      <c r="C115" s="44" t="s">
        <v>64</v>
      </c>
      <c r="D115" s="47" t="s">
        <v>65</v>
      </c>
      <c r="E115" s="44" t="s">
        <v>59</v>
      </c>
      <c r="F115" s="23">
        <v>19078</v>
      </c>
      <c r="G115" s="37">
        <v>16275793.576</v>
      </c>
      <c r="H115" s="37">
        <v>45420693.039894</v>
      </c>
      <c r="I115" s="37">
        <v>61696486.615894</v>
      </c>
    </row>
    <row r="116" spans="2:9" ht="18" customHeight="1" x14ac:dyDescent="0.25">
      <c r="B116" s="18" t="s">
        <v>16</v>
      </c>
      <c r="C116" s="42" t="s">
        <v>76</v>
      </c>
      <c r="D116" s="46" t="s">
        <v>77</v>
      </c>
      <c r="E116" s="42" t="s">
        <v>52</v>
      </c>
      <c r="F116" s="19">
        <v>8988</v>
      </c>
      <c r="G116" s="35">
        <v>7667828.529</v>
      </c>
      <c r="H116" s="35">
        <v>21647369.339464</v>
      </c>
      <c r="I116" s="35">
        <v>29315197.868464</v>
      </c>
    </row>
    <row r="117" spans="2:9" ht="18" customHeight="1" x14ac:dyDescent="0.25">
      <c r="B117" s="22" t="s">
        <v>16</v>
      </c>
      <c r="C117" s="44" t="s">
        <v>60</v>
      </c>
      <c r="D117" s="47" t="s">
        <v>61</v>
      </c>
      <c r="E117" s="44" t="s">
        <v>52</v>
      </c>
      <c r="F117" s="23">
        <v>15924</v>
      </c>
      <c r="G117" s="37">
        <v>13585058.019</v>
      </c>
      <c r="H117" s="37">
        <v>33214223.131165</v>
      </c>
      <c r="I117" s="37">
        <v>46799281.150165</v>
      </c>
    </row>
    <row r="118" spans="2:9" ht="18" customHeight="1" x14ac:dyDescent="0.25">
      <c r="B118" s="18" t="s">
        <v>16</v>
      </c>
      <c r="C118" s="42" t="s">
        <v>103</v>
      </c>
      <c r="D118" s="46" t="s">
        <v>104</v>
      </c>
      <c r="E118" s="42" t="s">
        <v>105</v>
      </c>
      <c r="F118" s="19">
        <v>14</v>
      </c>
      <c r="G118" s="35">
        <v>11943.657</v>
      </c>
      <c r="H118" s="35">
        <v>30769.734697</v>
      </c>
      <c r="I118" s="35">
        <v>42713.391697</v>
      </c>
    </row>
    <row r="119" spans="2:9" ht="18" customHeight="1" x14ac:dyDescent="0.25">
      <c r="B119" s="22" t="s">
        <v>16</v>
      </c>
      <c r="C119" s="44" t="s">
        <v>50</v>
      </c>
      <c r="D119" s="47" t="s">
        <v>51</v>
      </c>
      <c r="E119" s="44" t="s">
        <v>52</v>
      </c>
      <c r="F119" s="23">
        <v>49238</v>
      </c>
      <c r="G119" s="37">
        <v>42005845.689</v>
      </c>
      <c r="H119" s="37">
        <v>120211726.471444</v>
      </c>
      <c r="I119" s="37">
        <v>162217572.160444</v>
      </c>
    </row>
    <row r="120" spans="2:9" ht="18" customHeight="1" x14ac:dyDescent="0.25">
      <c r="B120" s="18" t="s">
        <v>16</v>
      </c>
      <c r="C120" s="42" t="s">
        <v>68</v>
      </c>
      <c r="D120" s="46" t="s">
        <v>69</v>
      </c>
      <c r="E120" s="42" t="s">
        <v>59</v>
      </c>
      <c r="F120" s="19">
        <v>15278</v>
      </c>
      <c r="G120" s="35">
        <v>13033943.509</v>
      </c>
      <c r="H120" s="35">
        <v>34956354.113669</v>
      </c>
      <c r="I120" s="35">
        <v>47990297.622669</v>
      </c>
    </row>
    <row r="121" spans="2:9" ht="18" customHeight="1" x14ac:dyDescent="0.25">
      <c r="B121" s="22" t="s">
        <v>16</v>
      </c>
      <c r="C121" s="44" t="s">
        <v>66</v>
      </c>
      <c r="D121" s="47" t="s">
        <v>67</v>
      </c>
      <c r="E121" s="44" t="s">
        <v>59</v>
      </c>
      <c r="F121" s="23">
        <v>13873</v>
      </c>
      <c r="G121" s="37">
        <v>11835312.101</v>
      </c>
      <c r="H121" s="37">
        <v>35032787.63845</v>
      </c>
      <c r="I121" s="37">
        <v>46868099.73945</v>
      </c>
    </row>
    <row r="122" spans="2:9" ht="18" customHeight="1" x14ac:dyDescent="0.25">
      <c r="B122" s="18" t="s">
        <v>16</v>
      </c>
      <c r="C122" s="42" t="s">
        <v>55</v>
      </c>
      <c r="D122" s="46" t="s">
        <v>56</v>
      </c>
      <c r="E122" s="42" t="s">
        <v>52</v>
      </c>
      <c r="F122" s="19">
        <v>20527</v>
      </c>
      <c r="G122" s="35">
        <v>17511962.193</v>
      </c>
      <c r="H122" s="35">
        <v>52363419.26827</v>
      </c>
      <c r="I122" s="35">
        <v>69875381.46127</v>
      </c>
    </row>
    <row r="123" spans="2:9" ht="18" customHeight="1" x14ac:dyDescent="0.25">
      <c r="B123" s="22" t="s">
        <v>16</v>
      </c>
      <c r="C123" s="44" t="s">
        <v>53</v>
      </c>
      <c r="D123" s="47" t="s">
        <v>54</v>
      </c>
      <c r="E123" s="44" t="s">
        <v>52</v>
      </c>
      <c r="F123" s="23">
        <v>35853</v>
      </c>
      <c r="G123" s="37">
        <v>30586855.381</v>
      </c>
      <c r="H123" s="37">
        <v>87848439.375893</v>
      </c>
      <c r="I123" s="37">
        <v>118435294.756893</v>
      </c>
    </row>
    <row r="124" spans="2:9" ht="18" customHeight="1" x14ac:dyDescent="0.25">
      <c r="B124" s="18" t="s">
        <v>16</v>
      </c>
      <c r="C124" s="42" t="s">
        <v>82</v>
      </c>
      <c r="D124" s="46" t="s">
        <v>83</v>
      </c>
      <c r="E124" s="42" t="s">
        <v>84</v>
      </c>
      <c r="F124" s="19">
        <v>4341</v>
      </c>
      <c r="G124" s="35">
        <v>3703387.146</v>
      </c>
      <c r="H124" s="35">
        <v>10645383.805744</v>
      </c>
      <c r="I124" s="35">
        <v>14348770.951744</v>
      </c>
    </row>
    <row r="125" spans="2:9" ht="18" customHeight="1" x14ac:dyDescent="0.25">
      <c r="B125" s="22" t="s">
        <v>16</v>
      </c>
      <c r="C125" s="44" t="s">
        <v>93</v>
      </c>
      <c r="D125" s="47" t="s">
        <v>94</v>
      </c>
      <c r="E125" s="44" t="s">
        <v>84</v>
      </c>
      <c r="F125" s="23">
        <v>2839</v>
      </c>
      <c r="G125" s="37">
        <v>2422003.246</v>
      </c>
      <c r="H125" s="37">
        <v>7113638.583639</v>
      </c>
      <c r="I125" s="37">
        <v>9535641.829639001</v>
      </c>
    </row>
    <row r="126" spans="2:9" ht="18" customHeight="1" x14ac:dyDescent="0.25">
      <c r="B126" s="18" t="s">
        <v>16</v>
      </c>
      <c r="C126" s="42" t="s">
        <v>89</v>
      </c>
      <c r="D126" s="46" t="s">
        <v>90</v>
      </c>
      <c r="E126" s="42" t="s">
        <v>84</v>
      </c>
      <c r="F126" s="19">
        <v>3032</v>
      </c>
      <c r="G126" s="35">
        <v>2586655.105</v>
      </c>
      <c r="H126" s="35">
        <v>7297834.519276</v>
      </c>
      <c r="I126" s="35">
        <v>9884489.624275999</v>
      </c>
    </row>
    <row r="127" spans="2:9" ht="18" customHeight="1" x14ac:dyDescent="0.25">
      <c r="B127" s="22" t="s">
        <v>16</v>
      </c>
      <c r="C127" s="44" t="s">
        <v>95</v>
      </c>
      <c r="D127" s="47" t="s">
        <v>96</v>
      </c>
      <c r="E127" s="44" t="s">
        <v>84</v>
      </c>
      <c r="F127" s="23">
        <v>2041</v>
      </c>
      <c r="G127" s="37">
        <v>1741214.732</v>
      </c>
      <c r="H127" s="37">
        <v>4897306.941052</v>
      </c>
      <c r="I127" s="37">
        <v>6638521.673052</v>
      </c>
    </row>
    <row r="128" spans="2:9" ht="18" customHeight="1" x14ac:dyDescent="0.25">
      <c r="B128" s="18" t="s">
        <v>16</v>
      </c>
      <c r="C128" s="42" t="s">
        <v>57</v>
      </c>
      <c r="D128" s="46" t="s">
        <v>58</v>
      </c>
      <c r="E128" s="42" t="s">
        <v>59</v>
      </c>
      <c r="F128" s="19">
        <v>22443</v>
      </c>
      <c r="G128" s="35">
        <v>19146537.121</v>
      </c>
      <c r="H128" s="35">
        <v>49748322.645145</v>
      </c>
      <c r="I128" s="35">
        <v>68894859.76614501</v>
      </c>
    </row>
    <row r="129" spans="2:9" ht="18" customHeight="1" x14ac:dyDescent="0.25">
      <c r="B129" s="22" t="s">
        <v>16</v>
      </c>
      <c r="C129" s="44" t="s">
        <v>72</v>
      </c>
      <c r="D129" s="47" t="s">
        <v>73</v>
      </c>
      <c r="E129" s="44" t="s">
        <v>52</v>
      </c>
      <c r="F129" s="23">
        <v>7061</v>
      </c>
      <c r="G129" s="37">
        <v>6023869.297</v>
      </c>
      <c r="H129" s="37">
        <v>17290131.833197</v>
      </c>
      <c r="I129" s="37">
        <v>23314001.130197</v>
      </c>
    </row>
    <row r="130" spans="2:9" ht="18" customHeight="1" x14ac:dyDescent="0.25">
      <c r="B130" s="18" t="s">
        <v>16</v>
      </c>
      <c r="C130" s="42" t="s">
        <v>78</v>
      </c>
      <c r="D130" s="46" t="s">
        <v>79</v>
      </c>
      <c r="E130" s="42" t="s">
        <v>52</v>
      </c>
      <c r="F130" s="19">
        <v>7379</v>
      </c>
      <c r="G130" s="35">
        <v>6295160.958</v>
      </c>
      <c r="H130" s="35">
        <v>18400476.505106</v>
      </c>
      <c r="I130" s="35">
        <v>24695637.463106</v>
      </c>
    </row>
    <row r="131" spans="2:9" ht="18" customHeight="1" x14ac:dyDescent="0.25">
      <c r="B131" s="22" t="s">
        <v>16</v>
      </c>
      <c r="C131" s="44" t="s">
        <v>85</v>
      </c>
      <c r="D131" s="47" t="s">
        <v>86</v>
      </c>
      <c r="E131" s="44" t="s">
        <v>84</v>
      </c>
      <c r="F131" s="23">
        <v>4088</v>
      </c>
      <c r="G131" s="37">
        <v>3487548.177</v>
      </c>
      <c r="H131" s="37">
        <v>9413241.661643</v>
      </c>
      <c r="I131" s="37">
        <v>12900789.838643</v>
      </c>
    </row>
    <row r="132" spans="2:9" ht="18" customHeight="1" x14ac:dyDescent="0.25">
      <c r="B132" s="18" t="s">
        <v>16</v>
      </c>
      <c r="C132" s="42" t="s">
        <v>74</v>
      </c>
      <c r="D132" s="46" t="s">
        <v>75</v>
      </c>
      <c r="E132" s="42" t="s">
        <v>59</v>
      </c>
      <c r="F132" s="19">
        <v>15919</v>
      </c>
      <c r="G132" s="35">
        <v>13580792.422</v>
      </c>
      <c r="H132" s="35">
        <v>37746717.608677</v>
      </c>
      <c r="I132" s="35">
        <v>51327510.030677</v>
      </c>
    </row>
    <row r="133" spans="2:9" ht="18" customHeight="1" x14ac:dyDescent="0.25">
      <c r="B133" s="22" t="s">
        <v>16</v>
      </c>
      <c r="C133" s="44" t="s">
        <v>97</v>
      </c>
      <c r="D133" s="47" t="s">
        <v>98</v>
      </c>
      <c r="E133" s="44" t="s">
        <v>84</v>
      </c>
      <c r="F133" s="23">
        <v>2357</v>
      </c>
      <c r="G133" s="37">
        <v>2010800.161</v>
      </c>
      <c r="H133" s="37">
        <v>6019357.792299</v>
      </c>
      <c r="I133" s="37">
        <v>8030157.953299</v>
      </c>
    </row>
    <row r="134" spans="2:9" ht="18" customHeight="1" x14ac:dyDescent="0.25">
      <c r="B134" s="18" t="s">
        <v>16</v>
      </c>
      <c r="C134" s="42" t="s">
        <v>100</v>
      </c>
      <c r="D134" s="46" t="s">
        <v>101</v>
      </c>
      <c r="E134" s="42" t="s">
        <v>102</v>
      </c>
      <c r="F134" s="19">
        <v>105</v>
      </c>
      <c r="G134" s="35">
        <v>89577.436</v>
      </c>
      <c r="H134" s="35">
        <v>34047.255108</v>
      </c>
      <c r="I134" s="35">
        <v>123624.691108</v>
      </c>
    </row>
    <row r="135" spans="2:9" ht="18" customHeight="1" x14ac:dyDescent="0.25">
      <c r="B135" s="22" t="s">
        <v>18</v>
      </c>
      <c r="C135" s="44" t="s">
        <v>70</v>
      </c>
      <c r="D135" s="47" t="s">
        <v>71</v>
      </c>
      <c r="E135" s="44" t="s">
        <v>59</v>
      </c>
      <c r="F135" s="23">
        <v>3362</v>
      </c>
      <c r="G135" s="37">
        <v>2963211.307</v>
      </c>
      <c r="H135" s="37">
        <v>8796856.513866</v>
      </c>
      <c r="I135" s="37">
        <v>11760067.820866</v>
      </c>
    </row>
    <row r="136" spans="2:9" ht="18" customHeight="1" x14ac:dyDescent="0.25">
      <c r="B136" s="18" t="s">
        <v>18</v>
      </c>
      <c r="C136" s="42" t="s">
        <v>80</v>
      </c>
      <c r="D136" s="46" t="s">
        <v>81</v>
      </c>
      <c r="E136" s="42" t="s">
        <v>59</v>
      </c>
      <c r="F136" s="19">
        <v>1792</v>
      </c>
      <c r="G136" s="35">
        <v>1579439.226</v>
      </c>
      <c r="H136" s="35">
        <v>4598235.532432</v>
      </c>
      <c r="I136" s="35">
        <v>6177674.758432</v>
      </c>
    </row>
    <row r="137" spans="2:9" ht="18" customHeight="1" x14ac:dyDescent="0.25">
      <c r="B137" s="22" t="s">
        <v>18</v>
      </c>
      <c r="C137" s="44" t="s">
        <v>91</v>
      </c>
      <c r="D137" s="47" t="s">
        <v>92</v>
      </c>
      <c r="E137" s="44" t="s">
        <v>59</v>
      </c>
      <c r="F137" s="23">
        <v>859</v>
      </c>
      <c r="G137" s="37">
        <v>757108.42</v>
      </c>
      <c r="H137" s="37">
        <v>2127384.467991</v>
      </c>
      <c r="I137" s="37">
        <v>2884492.887991</v>
      </c>
    </row>
    <row r="138" spans="2:9" ht="18" customHeight="1" x14ac:dyDescent="0.25">
      <c r="B138" s="18" t="s">
        <v>18</v>
      </c>
      <c r="C138" s="42" t="s">
        <v>87</v>
      </c>
      <c r="D138" s="46" t="s">
        <v>88</v>
      </c>
      <c r="E138" s="42" t="s">
        <v>59</v>
      </c>
      <c r="F138" s="19">
        <v>1439</v>
      </c>
      <c r="G138" s="35">
        <v>1268310.848</v>
      </c>
      <c r="H138" s="35">
        <v>3773555.586295</v>
      </c>
      <c r="I138" s="35">
        <v>5041866.434295</v>
      </c>
    </row>
    <row r="139" spans="2:9" ht="18" customHeight="1" x14ac:dyDescent="0.25">
      <c r="B139" s="22" t="s">
        <v>18</v>
      </c>
      <c r="C139" s="44" t="s">
        <v>62</v>
      </c>
      <c r="D139" s="47" t="s">
        <v>63</v>
      </c>
      <c r="E139" s="44" t="s">
        <v>59</v>
      </c>
      <c r="F139" s="23">
        <v>2441</v>
      </c>
      <c r="G139" s="37">
        <v>2151457.111</v>
      </c>
      <c r="H139" s="37">
        <v>6359441.785956</v>
      </c>
      <c r="I139" s="37">
        <v>8510898.896956</v>
      </c>
    </row>
    <row r="140" spans="2:9" ht="18" customHeight="1" x14ac:dyDescent="0.25">
      <c r="B140" s="18" t="s">
        <v>18</v>
      </c>
      <c r="C140" s="42" t="s">
        <v>64</v>
      </c>
      <c r="D140" s="46" t="s">
        <v>65</v>
      </c>
      <c r="E140" s="42" t="s">
        <v>59</v>
      </c>
      <c r="F140" s="19">
        <v>2546</v>
      </c>
      <c r="G140" s="35">
        <v>2244002.38</v>
      </c>
      <c r="H140" s="35">
        <v>6580658.2507</v>
      </c>
      <c r="I140" s="35">
        <v>8824660.6307</v>
      </c>
    </row>
    <row r="141" spans="2:9" ht="18" customHeight="1" x14ac:dyDescent="0.25">
      <c r="B141" s="22" t="s">
        <v>18</v>
      </c>
      <c r="C141" s="44" t="s">
        <v>76</v>
      </c>
      <c r="D141" s="47" t="s">
        <v>77</v>
      </c>
      <c r="E141" s="44" t="s">
        <v>52</v>
      </c>
      <c r="F141" s="23">
        <v>2363</v>
      </c>
      <c r="G141" s="37">
        <v>2082709.194</v>
      </c>
      <c r="H141" s="37">
        <v>6266019.168668</v>
      </c>
      <c r="I141" s="37">
        <v>8348728.362668</v>
      </c>
    </row>
    <row r="142" spans="2:9" ht="18" customHeight="1" x14ac:dyDescent="0.25">
      <c r="B142" s="18" t="s">
        <v>18</v>
      </c>
      <c r="C142" s="42" t="s">
        <v>60</v>
      </c>
      <c r="D142" s="46" t="s">
        <v>61</v>
      </c>
      <c r="E142" s="42" t="s">
        <v>52</v>
      </c>
      <c r="F142" s="19">
        <v>4417</v>
      </c>
      <c r="G142" s="35">
        <v>3893070.902</v>
      </c>
      <c r="H142" s="35">
        <v>9928307.642746</v>
      </c>
      <c r="I142" s="35">
        <v>13821378.544746</v>
      </c>
    </row>
    <row r="143" spans="2:9" ht="18" customHeight="1" x14ac:dyDescent="0.25">
      <c r="B143" s="22" t="s">
        <v>18</v>
      </c>
      <c r="C143" s="44" t="s">
        <v>103</v>
      </c>
      <c r="D143" s="47" t="s">
        <v>104</v>
      </c>
      <c r="E143" s="44" t="s">
        <v>105</v>
      </c>
      <c r="F143" s="23">
        <v>8</v>
      </c>
      <c r="G143" s="37">
        <v>7051.067</v>
      </c>
      <c r="H143" s="37">
        <v>14154.595693</v>
      </c>
      <c r="I143" s="37">
        <v>21205.662693</v>
      </c>
    </row>
    <row r="144" spans="2:9" ht="18" customHeight="1" x14ac:dyDescent="0.25">
      <c r="B144" s="18" t="s">
        <v>18</v>
      </c>
      <c r="C144" s="42" t="s">
        <v>50</v>
      </c>
      <c r="D144" s="46" t="s">
        <v>51</v>
      </c>
      <c r="E144" s="42" t="s">
        <v>52</v>
      </c>
      <c r="F144" s="19">
        <v>13876</v>
      </c>
      <c r="G144" s="35">
        <v>12230077.424</v>
      </c>
      <c r="H144" s="35">
        <v>35738878.825444</v>
      </c>
      <c r="I144" s="35">
        <v>47968956.249444</v>
      </c>
    </row>
    <row r="145" spans="2:9" ht="18" customHeight="1" x14ac:dyDescent="0.25">
      <c r="B145" s="22" t="s">
        <v>18</v>
      </c>
      <c r="C145" s="44" t="s">
        <v>68</v>
      </c>
      <c r="D145" s="47" t="s">
        <v>69</v>
      </c>
      <c r="E145" s="44" t="s">
        <v>59</v>
      </c>
      <c r="F145" s="23">
        <v>2382</v>
      </c>
      <c r="G145" s="37">
        <v>2099455.49</v>
      </c>
      <c r="H145" s="37">
        <v>5925541.806771</v>
      </c>
      <c r="I145" s="37">
        <v>8024997.296771</v>
      </c>
    </row>
    <row r="146" spans="2:9" ht="18" customHeight="1" x14ac:dyDescent="0.25">
      <c r="B146" s="18" t="s">
        <v>18</v>
      </c>
      <c r="C146" s="42" t="s">
        <v>66</v>
      </c>
      <c r="D146" s="46" t="s">
        <v>67</v>
      </c>
      <c r="E146" s="42" t="s">
        <v>59</v>
      </c>
      <c r="F146" s="19">
        <v>3163</v>
      </c>
      <c r="G146" s="35">
        <v>2787815.986</v>
      </c>
      <c r="H146" s="35">
        <v>8128446.083293</v>
      </c>
      <c r="I146" s="35">
        <v>10916262.069293</v>
      </c>
    </row>
    <row r="147" spans="2:9" ht="18" customHeight="1" x14ac:dyDescent="0.25">
      <c r="B147" s="22" t="s">
        <v>18</v>
      </c>
      <c r="C147" s="44" t="s">
        <v>55</v>
      </c>
      <c r="D147" s="47" t="s">
        <v>56</v>
      </c>
      <c r="E147" s="44" t="s">
        <v>52</v>
      </c>
      <c r="F147" s="23">
        <v>4321</v>
      </c>
      <c r="G147" s="37">
        <v>3808458.094</v>
      </c>
      <c r="H147" s="37">
        <v>11211945.55211</v>
      </c>
      <c r="I147" s="37">
        <v>15020403.64611</v>
      </c>
    </row>
    <row r="148" spans="2:9" ht="18" customHeight="1" x14ac:dyDescent="0.25">
      <c r="B148" s="18" t="s">
        <v>18</v>
      </c>
      <c r="C148" s="42" t="s">
        <v>53</v>
      </c>
      <c r="D148" s="46" t="s">
        <v>54</v>
      </c>
      <c r="E148" s="42" t="s">
        <v>52</v>
      </c>
      <c r="F148" s="19">
        <v>9805</v>
      </c>
      <c r="G148" s="35">
        <v>8641965.193</v>
      </c>
      <c r="H148" s="35">
        <v>24187951.629456</v>
      </c>
      <c r="I148" s="35">
        <v>32829916.822456</v>
      </c>
    </row>
    <row r="149" spans="2:9" ht="18" customHeight="1" x14ac:dyDescent="0.25">
      <c r="B149" s="22" t="s">
        <v>18</v>
      </c>
      <c r="C149" s="44" t="s">
        <v>82</v>
      </c>
      <c r="D149" s="47" t="s">
        <v>83</v>
      </c>
      <c r="E149" s="44" t="s">
        <v>84</v>
      </c>
      <c r="F149" s="23">
        <v>1554</v>
      </c>
      <c r="G149" s="37">
        <v>1369669.944</v>
      </c>
      <c r="H149" s="37">
        <v>4244292.721245</v>
      </c>
      <c r="I149" s="37">
        <v>5613962.665245</v>
      </c>
    </row>
    <row r="150" spans="2:9" ht="18" customHeight="1" x14ac:dyDescent="0.25">
      <c r="B150" s="18" t="s">
        <v>18</v>
      </c>
      <c r="C150" s="42" t="s">
        <v>93</v>
      </c>
      <c r="D150" s="46" t="s">
        <v>94</v>
      </c>
      <c r="E150" s="42" t="s">
        <v>84</v>
      </c>
      <c r="F150" s="19">
        <v>1192</v>
      </c>
      <c r="G150" s="35">
        <v>1050609.127</v>
      </c>
      <c r="H150" s="35">
        <v>2986896.350229</v>
      </c>
      <c r="I150" s="35">
        <v>4037505.477229</v>
      </c>
    </row>
    <row r="151" spans="2:9" ht="18" customHeight="1" x14ac:dyDescent="0.25">
      <c r="B151" s="22" t="s">
        <v>18</v>
      </c>
      <c r="C151" s="44" t="s">
        <v>89</v>
      </c>
      <c r="D151" s="47" t="s">
        <v>90</v>
      </c>
      <c r="E151" s="44" t="s">
        <v>84</v>
      </c>
      <c r="F151" s="23">
        <v>1209</v>
      </c>
      <c r="G151" s="37">
        <v>1065592.641</v>
      </c>
      <c r="H151" s="37">
        <v>3198404.811658</v>
      </c>
      <c r="I151" s="37">
        <v>4263997.452658</v>
      </c>
    </row>
    <row r="152" spans="2:9" ht="18" customHeight="1" x14ac:dyDescent="0.25">
      <c r="B152" s="18" t="s">
        <v>18</v>
      </c>
      <c r="C152" s="42" t="s">
        <v>95</v>
      </c>
      <c r="D152" s="46" t="s">
        <v>96</v>
      </c>
      <c r="E152" s="42" t="s">
        <v>84</v>
      </c>
      <c r="F152" s="19">
        <v>676</v>
      </c>
      <c r="G152" s="35">
        <v>595815.243</v>
      </c>
      <c r="H152" s="35">
        <v>1617383.499501</v>
      </c>
      <c r="I152" s="35">
        <v>2213198.742501</v>
      </c>
    </row>
    <row r="153" spans="2:9" ht="18" customHeight="1" x14ac:dyDescent="0.25">
      <c r="B153" s="22" t="s">
        <v>18</v>
      </c>
      <c r="C153" s="44" t="s">
        <v>57</v>
      </c>
      <c r="D153" s="47" t="s">
        <v>58</v>
      </c>
      <c r="E153" s="44" t="s">
        <v>59</v>
      </c>
      <c r="F153" s="23">
        <v>6418</v>
      </c>
      <c r="G153" s="37">
        <v>5656719.287</v>
      </c>
      <c r="H153" s="37">
        <v>15233006.513788</v>
      </c>
      <c r="I153" s="37">
        <v>20889725.800788</v>
      </c>
    </row>
    <row r="154" spans="2:9" ht="18" customHeight="1" x14ac:dyDescent="0.25">
      <c r="B154" s="18" t="s">
        <v>18</v>
      </c>
      <c r="C154" s="42" t="s">
        <v>72</v>
      </c>
      <c r="D154" s="46" t="s">
        <v>73</v>
      </c>
      <c r="E154" s="42" t="s">
        <v>52</v>
      </c>
      <c r="F154" s="19">
        <v>2533</v>
      </c>
      <c r="G154" s="35">
        <v>2232544.404</v>
      </c>
      <c r="H154" s="35">
        <v>6461873.734311</v>
      </c>
      <c r="I154" s="35">
        <v>8694418.138311001</v>
      </c>
    </row>
    <row r="155" spans="2:9" ht="18" customHeight="1" x14ac:dyDescent="0.25">
      <c r="B155" s="22" t="s">
        <v>18</v>
      </c>
      <c r="C155" s="44" t="s">
        <v>78</v>
      </c>
      <c r="D155" s="47" t="s">
        <v>79</v>
      </c>
      <c r="E155" s="44" t="s">
        <v>52</v>
      </c>
      <c r="F155" s="23">
        <v>2313</v>
      </c>
      <c r="G155" s="37">
        <v>2038640.031</v>
      </c>
      <c r="H155" s="37">
        <v>5832060.866935</v>
      </c>
      <c r="I155" s="37">
        <v>7870700.897935</v>
      </c>
    </row>
    <row r="156" spans="2:9" ht="18" customHeight="1" x14ac:dyDescent="0.25">
      <c r="B156" s="18" t="s">
        <v>18</v>
      </c>
      <c r="C156" s="42" t="s">
        <v>85</v>
      </c>
      <c r="D156" s="46" t="s">
        <v>86</v>
      </c>
      <c r="E156" s="42" t="s">
        <v>84</v>
      </c>
      <c r="F156" s="19">
        <v>1362</v>
      </c>
      <c r="G156" s="35">
        <v>1200444.317</v>
      </c>
      <c r="H156" s="35">
        <v>3485151.299801</v>
      </c>
      <c r="I156" s="35">
        <v>4685595.616801</v>
      </c>
    </row>
    <row r="157" spans="2:9" ht="18" customHeight="1" x14ac:dyDescent="0.25">
      <c r="B157" s="22" t="s">
        <v>18</v>
      </c>
      <c r="C157" s="44" t="s">
        <v>74</v>
      </c>
      <c r="D157" s="47" t="s">
        <v>75</v>
      </c>
      <c r="E157" s="44" t="s">
        <v>59</v>
      </c>
      <c r="F157" s="23">
        <v>1840</v>
      </c>
      <c r="G157" s="37">
        <v>1621745.625</v>
      </c>
      <c r="H157" s="37">
        <v>4799002.089863</v>
      </c>
      <c r="I157" s="37">
        <v>6420747.714863</v>
      </c>
    </row>
    <row r="158" spans="2:9" ht="18" customHeight="1" x14ac:dyDescent="0.25">
      <c r="B158" s="18" t="s">
        <v>18</v>
      </c>
      <c r="C158" s="42" t="s">
        <v>97</v>
      </c>
      <c r="D158" s="46" t="s">
        <v>98</v>
      </c>
      <c r="E158" s="42" t="s">
        <v>84</v>
      </c>
      <c r="F158" s="19">
        <v>818</v>
      </c>
      <c r="G158" s="35">
        <v>720971.694</v>
      </c>
      <c r="H158" s="35">
        <v>2106809.010121</v>
      </c>
      <c r="I158" s="35">
        <v>2827780.704121</v>
      </c>
    </row>
    <row r="159" spans="2:9" ht="18" customHeight="1" x14ac:dyDescent="0.25">
      <c r="B159" s="22" t="s">
        <v>18</v>
      </c>
      <c r="C159" s="44" t="s">
        <v>100</v>
      </c>
      <c r="D159" s="47" t="s">
        <v>101</v>
      </c>
      <c r="E159" s="44" t="s">
        <v>102</v>
      </c>
      <c r="F159" s="23">
        <v>11</v>
      </c>
      <c r="G159" s="37">
        <v>9695.218000000001</v>
      </c>
      <c r="H159" s="37">
        <v>8219.651126999999</v>
      </c>
      <c r="I159" s="37">
        <v>17914.869127</v>
      </c>
    </row>
    <row r="160" spans="2:9" ht="18" customHeight="1" x14ac:dyDescent="0.25">
      <c r="B160" s="18" t="s">
        <v>39</v>
      </c>
      <c r="C160" s="42" t="s">
        <v>70</v>
      </c>
      <c r="D160" s="46" t="s">
        <v>71</v>
      </c>
      <c r="E160" s="42" t="s">
        <v>59</v>
      </c>
      <c r="F160" s="19">
        <v>0</v>
      </c>
      <c r="G160" s="35">
        <v>0</v>
      </c>
      <c r="H160" s="35">
        <v>12583.291733</v>
      </c>
      <c r="I160" s="35">
        <v>12583.291733</v>
      </c>
    </row>
    <row r="161" spans="2:9" ht="18" customHeight="1" x14ac:dyDescent="0.25">
      <c r="B161" s="22" t="s">
        <v>39</v>
      </c>
      <c r="C161" s="44" t="s">
        <v>80</v>
      </c>
      <c r="D161" s="47" t="s">
        <v>81</v>
      </c>
      <c r="E161" s="44" t="s">
        <v>59</v>
      </c>
      <c r="F161" s="23">
        <v>0</v>
      </c>
      <c r="G161" s="37">
        <v>0</v>
      </c>
      <c r="H161" s="37">
        <v>1562.355014</v>
      </c>
      <c r="I161" s="37">
        <v>1562.355014</v>
      </c>
    </row>
    <row r="162" spans="2:9" ht="18" customHeight="1" x14ac:dyDescent="0.25">
      <c r="B162" s="18" t="s">
        <v>39</v>
      </c>
      <c r="C162" s="42" t="s">
        <v>91</v>
      </c>
      <c r="D162" s="46" t="s">
        <v>92</v>
      </c>
      <c r="E162" s="42" t="s">
        <v>59</v>
      </c>
      <c r="F162" s="19">
        <v>0</v>
      </c>
      <c r="G162" s="35">
        <v>0</v>
      </c>
      <c r="H162" s="35">
        <v>2195.742182</v>
      </c>
      <c r="I162" s="35">
        <v>2195.742182</v>
      </c>
    </row>
    <row r="163" spans="2:9" ht="18" customHeight="1" x14ac:dyDescent="0.25">
      <c r="B163" s="22" t="s">
        <v>39</v>
      </c>
      <c r="C163" s="44" t="s">
        <v>87</v>
      </c>
      <c r="D163" s="47" t="s">
        <v>88</v>
      </c>
      <c r="E163" s="44" t="s">
        <v>59</v>
      </c>
      <c r="F163" s="23">
        <v>0</v>
      </c>
      <c r="G163" s="37">
        <v>0</v>
      </c>
      <c r="H163" s="37">
        <v>3124.710028</v>
      </c>
      <c r="I163" s="37">
        <v>3124.710028</v>
      </c>
    </row>
    <row r="164" spans="2:9" ht="18" customHeight="1" x14ac:dyDescent="0.25">
      <c r="B164" s="18" t="s">
        <v>39</v>
      </c>
      <c r="C164" s="42" t="s">
        <v>62</v>
      </c>
      <c r="D164" s="46" t="s">
        <v>63</v>
      </c>
      <c r="E164" s="42" t="s">
        <v>59</v>
      </c>
      <c r="F164" s="19">
        <v>0</v>
      </c>
      <c r="G164" s="35">
        <v>0</v>
      </c>
      <c r="H164" s="35">
        <v>2913.580972</v>
      </c>
      <c r="I164" s="35">
        <v>2913.580972</v>
      </c>
    </row>
    <row r="165" spans="2:9" ht="18" customHeight="1" x14ac:dyDescent="0.25">
      <c r="B165" s="22" t="s">
        <v>39</v>
      </c>
      <c r="C165" s="44" t="s">
        <v>64</v>
      </c>
      <c r="D165" s="47" t="s">
        <v>65</v>
      </c>
      <c r="E165" s="44" t="s">
        <v>59</v>
      </c>
      <c r="F165" s="23">
        <v>0</v>
      </c>
      <c r="G165" s="37">
        <v>0</v>
      </c>
      <c r="H165" s="37">
        <v>2660.226105</v>
      </c>
      <c r="I165" s="37">
        <v>2660.226105</v>
      </c>
    </row>
    <row r="166" spans="2:9" ht="18" customHeight="1" x14ac:dyDescent="0.25">
      <c r="B166" s="18" t="s">
        <v>39</v>
      </c>
      <c r="C166" s="42" t="s">
        <v>76</v>
      </c>
      <c r="D166" s="46" t="s">
        <v>77</v>
      </c>
      <c r="E166" s="42" t="s">
        <v>52</v>
      </c>
      <c r="F166" s="19">
        <v>0</v>
      </c>
      <c r="G166" s="35">
        <v>0</v>
      </c>
      <c r="H166" s="35">
        <v>13343.356335</v>
      </c>
      <c r="I166" s="35">
        <v>13343.356335</v>
      </c>
    </row>
    <row r="167" spans="2:9" ht="18" customHeight="1" x14ac:dyDescent="0.25">
      <c r="B167" s="22" t="s">
        <v>39</v>
      </c>
      <c r="C167" s="44" t="s">
        <v>60</v>
      </c>
      <c r="D167" s="47" t="s">
        <v>61</v>
      </c>
      <c r="E167" s="44" t="s">
        <v>52</v>
      </c>
      <c r="F167" s="23">
        <v>0</v>
      </c>
      <c r="G167" s="37">
        <v>0</v>
      </c>
      <c r="H167" s="37">
        <v>5616.032888</v>
      </c>
      <c r="I167" s="37">
        <v>5616.032888</v>
      </c>
    </row>
    <row r="168" spans="2:9" ht="18" customHeight="1" x14ac:dyDescent="0.25">
      <c r="B168" s="18" t="s">
        <v>39</v>
      </c>
      <c r="C168" s="42" t="s">
        <v>103</v>
      </c>
      <c r="D168" s="46" t="s">
        <v>104</v>
      </c>
      <c r="E168" s="42" t="s">
        <v>105</v>
      </c>
      <c r="F168" s="19">
        <v>0</v>
      </c>
      <c r="G168" s="35">
        <v>0</v>
      </c>
      <c r="H168" s="35">
        <v>42.225811</v>
      </c>
      <c r="I168" s="35">
        <v>42.225811</v>
      </c>
    </row>
    <row r="169" spans="2:9" ht="18" customHeight="1" x14ac:dyDescent="0.25">
      <c r="B169" s="22" t="s">
        <v>39</v>
      </c>
      <c r="C169" s="44" t="s">
        <v>50</v>
      </c>
      <c r="D169" s="47" t="s">
        <v>51</v>
      </c>
      <c r="E169" s="44" t="s">
        <v>52</v>
      </c>
      <c r="F169" s="23">
        <v>0</v>
      </c>
      <c r="G169" s="37">
        <v>0</v>
      </c>
      <c r="H169" s="37">
        <v>99821.817644</v>
      </c>
      <c r="I169" s="37">
        <v>99821.817644</v>
      </c>
    </row>
    <row r="170" spans="2:9" ht="18" customHeight="1" x14ac:dyDescent="0.25">
      <c r="B170" s="18" t="s">
        <v>39</v>
      </c>
      <c r="C170" s="42" t="s">
        <v>68</v>
      </c>
      <c r="D170" s="46" t="s">
        <v>69</v>
      </c>
      <c r="E170" s="42" t="s">
        <v>59</v>
      </c>
      <c r="F170" s="19">
        <v>0</v>
      </c>
      <c r="G170" s="35">
        <v>0</v>
      </c>
      <c r="H170" s="35">
        <v>2153.51637</v>
      </c>
      <c r="I170" s="35">
        <v>2153.51637</v>
      </c>
    </row>
    <row r="171" spans="2:9" ht="18" customHeight="1" x14ac:dyDescent="0.25">
      <c r="B171" s="22" t="s">
        <v>39</v>
      </c>
      <c r="C171" s="44" t="s">
        <v>66</v>
      </c>
      <c r="D171" s="47" t="s">
        <v>67</v>
      </c>
      <c r="E171" s="44" t="s">
        <v>59</v>
      </c>
      <c r="F171" s="23">
        <v>0</v>
      </c>
      <c r="G171" s="37">
        <v>0</v>
      </c>
      <c r="H171" s="37">
        <v>2829.129349</v>
      </c>
      <c r="I171" s="37">
        <v>2829.129349</v>
      </c>
    </row>
    <row r="172" spans="2:9" ht="18" customHeight="1" x14ac:dyDescent="0.25">
      <c r="B172" s="18" t="s">
        <v>39</v>
      </c>
      <c r="C172" s="42" t="s">
        <v>55</v>
      </c>
      <c r="D172" s="46" t="s">
        <v>56</v>
      </c>
      <c r="E172" s="42" t="s">
        <v>52</v>
      </c>
      <c r="F172" s="19">
        <v>0</v>
      </c>
      <c r="G172" s="35">
        <v>0</v>
      </c>
      <c r="H172" s="35">
        <v>14399.001614</v>
      </c>
      <c r="I172" s="35">
        <v>14399.001614</v>
      </c>
    </row>
    <row r="173" spans="2:9" ht="18" customHeight="1" x14ac:dyDescent="0.25">
      <c r="B173" s="22" t="s">
        <v>39</v>
      </c>
      <c r="C173" s="44" t="s">
        <v>53</v>
      </c>
      <c r="D173" s="47" t="s">
        <v>54</v>
      </c>
      <c r="E173" s="44" t="s">
        <v>52</v>
      </c>
      <c r="F173" s="23">
        <v>0</v>
      </c>
      <c r="G173" s="37">
        <v>0</v>
      </c>
      <c r="H173" s="37">
        <v>16130.259873</v>
      </c>
      <c r="I173" s="37">
        <v>16130.259873</v>
      </c>
    </row>
    <row r="174" spans="2:9" ht="18" customHeight="1" x14ac:dyDescent="0.25">
      <c r="B174" s="18" t="s">
        <v>39</v>
      </c>
      <c r="C174" s="42" t="s">
        <v>82</v>
      </c>
      <c r="D174" s="46" t="s">
        <v>83</v>
      </c>
      <c r="E174" s="42" t="s">
        <v>84</v>
      </c>
      <c r="F174" s="19">
        <v>0</v>
      </c>
      <c r="G174" s="35">
        <v>0</v>
      </c>
      <c r="H174" s="35">
        <v>760.064601</v>
      </c>
      <c r="I174" s="35">
        <v>760.064601</v>
      </c>
    </row>
    <row r="175" spans="2:9" ht="18" customHeight="1" x14ac:dyDescent="0.25">
      <c r="B175" s="22" t="s">
        <v>39</v>
      </c>
      <c r="C175" s="44" t="s">
        <v>93</v>
      </c>
      <c r="D175" s="47" t="s">
        <v>94</v>
      </c>
      <c r="E175" s="44" t="s">
        <v>84</v>
      </c>
      <c r="F175" s="23">
        <v>0</v>
      </c>
      <c r="G175" s="37">
        <v>0</v>
      </c>
      <c r="H175" s="37">
        <v>337.806489</v>
      </c>
      <c r="I175" s="37">
        <v>337.806489</v>
      </c>
    </row>
    <row r="176" spans="2:9" ht="18" customHeight="1" x14ac:dyDescent="0.25">
      <c r="B176" s="18" t="s">
        <v>39</v>
      </c>
      <c r="C176" s="42" t="s">
        <v>89</v>
      </c>
      <c r="D176" s="46" t="s">
        <v>90</v>
      </c>
      <c r="E176" s="42" t="s">
        <v>84</v>
      </c>
      <c r="F176" s="19">
        <v>0</v>
      </c>
      <c r="G176" s="35">
        <v>0</v>
      </c>
      <c r="H176" s="35">
        <v>971.193657</v>
      </c>
      <c r="I176" s="35">
        <v>971.193657</v>
      </c>
    </row>
    <row r="177" spans="2:9" ht="18" customHeight="1" x14ac:dyDescent="0.25">
      <c r="B177" s="22" t="s">
        <v>39</v>
      </c>
      <c r="C177" s="44" t="s">
        <v>95</v>
      </c>
      <c r="D177" s="47" t="s">
        <v>96</v>
      </c>
      <c r="E177" s="44" t="s">
        <v>84</v>
      </c>
      <c r="F177" s="23">
        <v>0</v>
      </c>
      <c r="G177" s="37">
        <v>0</v>
      </c>
      <c r="H177" s="37">
        <v>675.612979</v>
      </c>
      <c r="I177" s="37">
        <v>675.612979</v>
      </c>
    </row>
    <row r="178" spans="2:9" ht="18" customHeight="1" x14ac:dyDescent="0.25">
      <c r="B178" s="18" t="s">
        <v>39</v>
      </c>
      <c r="C178" s="42" t="s">
        <v>57</v>
      </c>
      <c r="D178" s="46" t="s">
        <v>58</v>
      </c>
      <c r="E178" s="42" t="s">
        <v>59</v>
      </c>
      <c r="F178" s="19">
        <v>0</v>
      </c>
      <c r="G178" s="35">
        <v>0</v>
      </c>
      <c r="H178" s="35">
        <v>9543.033328</v>
      </c>
      <c r="I178" s="35">
        <v>9543.033328</v>
      </c>
    </row>
    <row r="179" spans="2:9" ht="18" customHeight="1" x14ac:dyDescent="0.25">
      <c r="B179" s="22" t="s">
        <v>39</v>
      </c>
      <c r="C179" s="44" t="s">
        <v>72</v>
      </c>
      <c r="D179" s="47" t="s">
        <v>73</v>
      </c>
      <c r="E179" s="44" t="s">
        <v>52</v>
      </c>
      <c r="F179" s="23">
        <v>0</v>
      </c>
      <c r="G179" s="37">
        <v>0</v>
      </c>
      <c r="H179" s="37">
        <v>2744.677727</v>
      </c>
      <c r="I179" s="37">
        <v>2744.677727</v>
      </c>
    </row>
    <row r="180" spans="2:9" ht="18" customHeight="1" x14ac:dyDescent="0.25">
      <c r="B180" s="18" t="s">
        <v>39</v>
      </c>
      <c r="C180" s="42" t="s">
        <v>78</v>
      </c>
      <c r="D180" s="46" t="s">
        <v>79</v>
      </c>
      <c r="E180" s="42" t="s">
        <v>52</v>
      </c>
      <c r="F180" s="19">
        <v>0</v>
      </c>
      <c r="G180" s="35">
        <v>0</v>
      </c>
      <c r="H180" s="35">
        <v>6291.645867</v>
      </c>
      <c r="I180" s="35">
        <v>6291.645867</v>
      </c>
    </row>
    <row r="181" spans="2:9" ht="18" customHeight="1" x14ac:dyDescent="0.25">
      <c r="B181" s="22" t="s">
        <v>39</v>
      </c>
      <c r="C181" s="44" t="s">
        <v>85</v>
      </c>
      <c r="D181" s="47" t="s">
        <v>86</v>
      </c>
      <c r="E181" s="44" t="s">
        <v>84</v>
      </c>
      <c r="F181" s="23">
        <v>0</v>
      </c>
      <c r="G181" s="37">
        <v>0</v>
      </c>
      <c r="H181" s="37">
        <v>380.032301</v>
      </c>
      <c r="I181" s="37">
        <v>380.032301</v>
      </c>
    </row>
    <row r="182" spans="2:9" ht="18" customHeight="1" x14ac:dyDescent="0.25">
      <c r="B182" s="18" t="s">
        <v>39</v>
      </c>
      <c r="C182" s="42" t="s">
        <v>74</v>
      </c>
      <c r="D182" s="46" t="s">
        <v>75</v>
      </c>
      <c r="E182" s="42" t="s">
        <v>59</v>
      </c>
      <c r="F182" s="19">
        <v>0</v>
      </c>
      <c r="G182" s="35">
        <v>0</v>
      </c>
      <c r="H182" s="35">
        <v>11443.194831</v>
      </c>
      <c r="I182" s="35">
        <v>11443.194831</v>
      </c>
    </row>
    <row r="183" spans="2:9" ht="18" customHeight="1" x14ac:dyDescent="0.25">
      <c r="B183" s="22" t="s">
        <v>39</v>
      </c>
      <c r="C183" s="44" t="s">
        <v>97</v>
      </c>
      <c r="D183" s="47" t="s">
        <v>98</v>
      </c>
      <c r="E183" s="44" t="s">
        <v>84</v>
      </c>
      <c r="F183" s="23">
        <v>0</v>
      </c>
      <c r="G183" s="37">
        <v>0</v>
      </c>
      <c r="H183" s="37">
        <v>337.806489</v>
      </c>
      <c r="I183" s="37">
        <v>337.806489</v>
      </c>
    </row>
    <row r="184" spans="2:9" ht="18" customHeight="1" x14ac:dyDescent="0.25">
      <c r="B184" s="18" t="s">
        <v>39</v>
      </c>
      <c r="C184" s="42" t="s">
        <v>100</v>
      </c>
      <c r="D184" s="46" t="s">
        <v>101</v>
      </c>
      <c r="E184" s="42" t="s">
        <v>102</v>
      </c>
      <c r="F184" s="19">
        <v>0</v>
      </c>
      <c r="G184" s="35">
        <v>0</v>
      </c>
      <c r="H184" s="35">
        <v>42.225811</v>
      </c>
      <c r="I184" s="35">
        <v>42.225811</v>
      </c>
    </row>
    <row r="185" spans="2:9" ht="18" customHeight="1" x14ac:dyDescent="0.25">
      <c r="B185" s="22" t="s">
        <v>41</v>
      </c>
      <c r="C185" s="44" t="s">
        <v>70</v>
      </c>
      <c r="D185" s="47" t="s">
        <v>71</v>
      </c>
      <c r="E185" s="44" t="s">
        <v>59</v>
      </c>
      <c r="F185" s="23">
        <v>0</v>
      </c>
      <c r="G185" s="37">
        <v>0</v>
      </c>
      <c r="H185" s="37">
        <v>3423.076923</v>
      </c>
      <c r="I185" s="37">
        <v>3423.076923</v>
      </c>
    </row>
    <row r="186" spans="2:9" ht="18" customHeight="1" x14ac:dyDescent="0.25">
      <c r="B186" s="18" t="s">
        <v>41</v>
      </c>
      <c r="C186" s="42" t="s">
        <v>80</v>
      </c>
      <c r="D186" s="46" t="s">
        <v>81</v>
      </c>
      <c r="E186" s="42" t="s">
        <v>59</v>
      </c>
      <c r="F186" s="19">
        <v>0</v>
      </c>
      <c r="G186" s="35">
        <v>0</v>
      </c>
      <c r="H186" s="35">
        <v>319.487179</v>
      </c>
      <c r="I186" s="35">
        <v>319.487179</v>
      </c>
    </row>
    <row r="187" spans="2:9" ht="18" customHeight="1" x14ac:dyDescent="0.25">
      <c r="B187" s="22" t="s">
        <v>41</v>
      </c>
      <c r="C187" s="44" t="s">
        <v>91</v>
      </c>
      <c r="D187" s="47" t="s">
        <v>92</v>
      </c>
      <c r="E187" s="44" t="s">
        <v>59</v>
      </c>
      <c r="F187" s="23">
        <v>0</v>
      </c>
      <c r="G187" s="37">
        <v>0</v>
      </c>
      <c r="H187" s="37">
        <v>593.333333</v>
      </c>
      <c r="I187" s="37">
        <v>593.333333</v>
      </c>
    </row>
    <row r="188" spans="2:9" ht="18" customHeight="1" x14ac:dyDescent="0.25">
      <c r="B188" s="18" t="s">
        <v>41</v>
      </c>
      <c r="C188" s="42" t="s">
        <v>87</v>
      </c>
      <c r="D188" s="46" t="s">
        <v>88</v>
      </c>
      <c r="E188" s="42" t="s">
        <v>59</v>
      </c>
      <c r="F188" s="19">
        <v>0</v>
      </c>
      <c r="G188" s="35">
        <v>0</v>
      </c>
      <c r="H188" s="35">
        <v>775.897436</v>
      </c>
      <c r="I188" s="35">
        <v>775.897436</v>
      </c>
    </row>
    <row r="189" spans="2:9" ht="18" customHeight="1" x14ac:dyDescent="0.25">
      <c r="B189" s="22" t="s">
        <v>41</v>
      </c>
      <c r="C189" s="44" t="s">
        <v>62</v>
      </c>
      <c r="D189" s="47" t="s">
        <v>63</v>
      </c>
      <c r="E189" s="44" t="s">
        <v>59</v>
      </c>
      <c r="F189" s="23">
        <v>0</v>
      </c>
      <c r="G189" s="37">
        <v>0</v>
      </c>
      <c r="H189" s="37">
        <v>1232.307692</v>
      </c>
      <c r="I189" s="37">
        <v>1232.307692</v>
      </c>
    </row>
    <row r="190" spans="2:9" ht="18" customHeight="1" x14ac:dyDescent="0.25">
      <c r="B190" s="18" t="s">
        <v>41</v>
      </c>
      <c r="C190" s="42" t="s">
        <v>64</v>
      </c>
      <c r="D190" s="46" t="s">
        <v>65</v>
      </c>
      <c r="E190" s="42" t="s">
        <v>59</v>
      </c>
      <c r="F190" s="19">
        <v>0</v>
      </c>
      <c r="G190" s="35">
        <v>0</v>
      </c>
      <c r="H190" s="35">
        <v>502.051282</v>
      </c>
      <c r="I190" s="35">
        <v>502.051282</v>
      </c>
    </row>
    <row r="191" spans="2:9" ht="18" customHeight="1" x14ac:dyDescent="0.25">
      <c r="B191" s="22" t="s">
        <v>41</v>
      </c>
      <c r="C191" s="44" t="s">
        <v>76</v>
      </c>
      <c r="D191" s="47" t="s">
        <v>77</v>
      </c>
      <c r="E191" s="44" t="s">
        <v>52</v>
      </c>
      <c r="F191" s="23">
        <v>0</v>
      </c>
      <c r="G191" s="37">
        <v>0</v>
      </c>
      <c r="H191" s="37">
        <v>4792.307692</v>
      </c>
      <c r="I191" s="37">
        <v>4792.307692</v>
      </c>
    </row>
    <row r="192" spans="2:9" ht="18" customHeight="1" x14ac:dyDescent="0.25">
      <c r="B192" s="18" t="s">
        <v>41</v>
      </c>
      <c r="C192" s="42" t="s">
        <v>60</v>
      </c>
      <c r="D192" s="46" t="s">
        <v>61</v>
      </c>
      <c r="E192" s="42" t="s">
        <v>52</v>
      </c>
      <c r="F192" s="19">
        <v>0</v>
      </c>
      <c r="G192" s="35">
        <v>0</v>
      </c>
      <c r="H192" s="35">
        <v>3423.076923</v>
      </c>
      <c r="I192" s="35">
        <v>3423.076923</v>
      </c>
    </row>
    <row r="193" spans="2:9" ht="18" customHeight="1" x14ac:dyDescent="0.25">
      <c r="B193" s="22" t="s">
        <v>41</v>
      </c>
      <c r="C193" s="44" t="s">
        <v>103</v>
      </c>
      <c r="D193" s="47" t="s">
        <v>104</v>
      </c>
      <c r="E193" s="44" t="s">
        <v>105</v>
      </c>
      <c r="F193" s="23">
        <v>0</v>
      </c>
      <c r="G193" s="37">
        <v>0</v>
      </c>
      <c r="H193" s="37">
        <v>0</v>
      </c>
      <c r="I193" s="37">
        <v>0</v>
      </c>
    </row>
    <row r="194" spans="2:9" ht="18" customHeight="1" x14ac:dyDescent="0.25">
      <c r="B194" s="18" t="s">
        <v>41</v>
      </c>
      <c r="C194" s="42" t="s">
        <v>50</v>
      </c>
      <c r="D194" s="46" t="s">
        <v>51</v>
      </c>
      <c r="E194" s="42" t="s">
        <v>52</v>
      </c>
      <c r="F194" s="19">
        <v>0</v>
      </c>
      <c r="G194" s="35">
        <v>0</v>
      </c>
      <c r="H194" s="35">
        <v>29255.897436</v>
      </c>
      <c r="I194" s="35">
        <v>29255.897436</v>
      </c>
    </row>
    <row r="195" spans="2:9" ht="18" customHeight="1" x14ac:dyDescent="0.25">
      <c r="B195" s="22" t="s">
        <v>41</v>
      </c>
      <c r="C195" s="44" t="s">
        <v>68</v>
      </c>
      <c r="D195" s="47" t="s">
        <v>69</v>
      </c>
      <c r="E195" s="44" t="s">
        <v>59</v>
      </c>
      <c r="F195" s="23">
        <v>0</v>
      </c>
      <c r="G195" s="37">
        <v>0</v>
      </c>
      <c r="H195" s="37">
        <v>1551.794872</v>
      </c>
      <c r="I195" s="37">
        <v>1551.794872</v>
      </c>
    </row>
    <row r="196" spans="2:9" ht="18" customHeight="1" x14ac:dyDescent="0.25">
      <c r="B196" s="18" t="s">
        <v>41</v>
      </c>
      <c r="C196" s="42" t="s">
        <v>66</v>
      </c>
      <c r="D196" s="46" t="s">
        <v>67</v>
      </c>
      <c r="E196" s="42" t="s">
        <v>59</v>
      </c>
      <c r="F196" s="19">
        <v>0</v>
      </c>
      <c r="G196" s="35">
        <v>0</v>
      </c>
      <c r="H196" s="35">
        <v>1323.589744</v>
      </c>
      <c r="I196" s="35">
        <v>1323.589744</v>
      </c>
    </row>
    <row r="197" spans="2:9" ht="18" customHeight="1" x14ac:dyDescent="0.25">
      <c r="B197" s="22" t="s">
        <v>41</v>
      </c>
      <c r="C197" s="44" t="s">
        <v>55</v>
      </c>
      <c r="D197" s="47" t="s">
        <v>56</v>
      </c>
      <c r="E197" s="44" t="s">
        <v>52</v>
      </c>
      <c r="F197" s="23">
        <v>0</v>
      </c>
      <c r="G197" s="37">
        <v>0</v>
      </c>
      <c r="H197" s="37">
        <v>4244.615385</v>
      </c>
      <c r="I197" s="37">
        <v>4244.615385</v>
      </c>
    </row>
    <row r="198" spans="2:9" ht="18" customHeight="1" x14ac:dyDescent="0.25">
      <c r="B198" s="18" t="s">
        <v>41</v>
      </c>
      <c r="C198" s="42" t="s">
        <v>53</v>
      </c>
      <c r="D198" s="46" t="s">
        <v>54</v>
      </c>
      <c r="E198" s="42" t="s">
        <v>52</v>
      </c>
      <c r="F198" s="19">
        <v>0</v>
      </c>
      <c r="G198" s="35">
        <v>0</v>
      </c>
      <c r="H198" s="35">
        <v>7165.641026</v>
      </c>
      <c r="I198" s="35">
        <v>7165.641026</v>
      </c>
    </row>
    <row r="199" spans="2:9" ht="18" customHeight="1" x14ac:dyDescent="0.25">
      <c r="B199" s="22" t="s">
        <v>41</v>
      </c>
      <c r="C199" s="44" t="s">
        <v>82</v>
      </c>
      <c r="D199" s="47" t="s">
        <v>83</v>
      </c>
      <c r="E199" s="44" t="s">
        <v>84</v>
      </c>
      <c r="F199" s="23">
        <v>0</v>
      </c>
      <c r="G199" s="37">
        <v>0</v>
      </c>
      <c r="H199" s="37">
        <v>593.333333</v>
      </c>
      <c r="I199" s="37">
        <v>593.333333</v>
      </c>
    </row>
    <row r="200" spans="2:9" ht="18" customHeight="1" x14ac:dyDescent="0.25">
      <c r="B200" s="18" t="s">
        <v>41</v>
      </c>
      <c r="C200" s="42" t="s">
        <v>93</v>
      </c>
      <c r="D200" s="46" t="s">
        <v>94</v>
      </c>
      <c r="E200" s="42" t="s">
        <v>84</v>
      </c>
      <c r="F200" s="19">
        <v>0</v>
      </c>
      <c r="G200" s="35">
        <v>0</v>
      </c>
      <c r="H200" s="35">
        <v>136.923077</v>
      </c>
      <c r="I200" s="35">
        <v>136.923077</v>
      </c>
    </row>
    <row r="201" spans="2:9" ht="18" customHeight="1" x14ac:dyDescent="0.25">
      <c r="B201" s="22" t="s">
        <v>41</v>
      </c>
      <c r="C201" s="44" t="s">
        <v>89</v>
      </c>
      <c r="D201" s="47" t="s">
        <v>90</v>
      </c>
      <c r="E201" s="44" t="s">
        <v>84</v>
      </c>
      <c r="F201" s="23">
        <v>0</v>
      </c>
      <c r="G201" s="37">
        <v>0</v>
      </c>
      <c r="H201" s="37">
        <v>547.692308</v>
      </c>
      <c r="I201" s="37">
        <v>547.692308</v>
      </c>
    </row>
    <row r="202" spans="2:9" ht="18" customHeight="1" x14ac:dyDescent="0.25">
      <c r="B202" s="18" t="s">
        <v>41</v>
      </c>
      <c r="C202" s="42" t="s">
        <v>95</v>
      </c>
      <c r="D202" s="46" t="s">
        <v>96</v>
      </c>
      <c r="E202" s="42" t="s">
        <v>84</v>
      </c>
      <c r="F202" s="19">
        <v>0</v>
      </c>
      <c r="G202" s="35">
        <v>0</v>
      </c>
      <c r="H202" s="35">
        <v>136.923077</v>
      </c>
      <c r="I202" s="35">
        <v>136.923077</v>
      </c>
    </row>
    <row r="203" spans="2:9" ht="18" customHeight="1" x14ac:dyDescent="0.25">
      <c r="B203" s="22" t="s">
        <v>41</v>
      </c>
      <c r="C203" s="44" t="s">
        <v>57</v>
      </c>
      <c r="D203" s="47" t="s">
        <v>58</v>
      </c>
      <c r="E203" s="44" t="s">
        <v>59</v>
      </c>
      <c r="F203" s="23">
        <v>0</v>
      </c>
      <c r="G203" s="37">
        <v>0</v>
      </c>
      <c r="H203" s="37">
        <v>5248.717949</v>
      </c>
      <c r="I203" s="37">
        <v>5248.717949</v>
      </c>
    </row>
    <row r="204" spans="2:9" ht="18" customHeight="1" x14ac:dyDescent="0.25">
      <c r="B204" s="18" t="s">
        <v>41</v>
      </c>
      <c r="C204" s="42" t="s">
        <v>72</v>
      </c>
      <c r="D204" s="46" t="s">
        <v>73</v>
      </c>
      <c r="E204" s="42" t="s">
        <v>52</v>
      </c>
      <c r="F204" s="19">
        <v>0</v>
      </c>
      <c r="G204" s="35">
        <v>0</v>
      </c>
      <c r="H204" s="35">
        <v>1141.025641</v>
      </c>
      <c r="I204" s="35">
        <v>1141.025641</v>
      </c>
    </row>
    <row r="205" spans="2:9" ht="18" customHeight="1" x14ac:dyDescent="0.25">
      <c r="B205" s="22" t="s">
        <v>41</v>
      </c>
      <c r="C205" s="44" t="s">
        <v>78</v>
      </c>
      <c r="D205" s="47" t="s">
        <v>79</v>
      </c>
      <c r="E205" s="44" t="s">
        <v>52</v>
      </c>
      <c r="F205" s="23">
        <v>0</v>
      </c>
      <c r="G205" s="37">
        <v>0</v>
      </c>
      <c r="H205" s="37">
        <v>1780</v>
      </c>
      <c r="I205" s="37">
        <v>1780</v>
      </c>
    </row>
    <row r="206" spans="2:9" ht="18" customHeight="1" x14ac:dyDescent="0.25">
      <c r="B206" s="18" t="s">
        <v>41</v>
      </c>
      <c r="C206" s="42" t="s">
        <v>85</v>
      </c>
      <c r="D206" s="46" t="s">
        <v>86</v>
      </c>
      <c r="E206" s="42" t="s">
        <v>84</v>
      </c>
      <c r="F206" s="19">
        <v>0</v>
      </c>
      <c r="G206" s="35">
        <v>0</v>
      </c>
      <c r="H206" s="35">
        <v>638.974359</v>
      </c>
      <c r="I206" s="35">
        <v>638.974359</v>
      </c>
    </row>
    <row r="207" spans="2:9" ht="18" customHeight="1" x14ac:dyDescent="0.25">
      <c r="B207" s="22" t="s">
        <v>41</v>
      </c>
      <c r="C207" s="44" t="s">
        <v>74</v>
      </c>
      <c r="D207" s="47" t="s">
        <v>75</v>
      </c>
      <c r="E207" s="44" t="s">
        <v>59</v>
      </c>
      <c r="F207" s="23">
        <v>0</v>
      </c>
      <c r="G207" s="37">
        <v>0</v>
      </c>
      <c r="H207" s="37">
        <v>2190.769231</v>
      </c>
      <c r="I207" s="37">
        <v>2190.769231</v>
      </c>
    </row>
    <row r="208" spans="2:9" ht="18" customHeight="1" x14ac:dyDescent="0.25">
      <c r="B208" s="18" t="s">
        <v>41</v>
      </c>
      <c r="C208" s="42" t="s">
        <v>97</v>
      </c>
      <c r="D208" s="46" t="s">
        <v>98</v>
      </c>
      <c r="E208" s="42" t="s">
        <v>84</v>
      </c>
      <c r="F208" s="19">
        <v>0</v>
      </c>
      <c r="G208" s="35">
        <v>0</v>
      </c>
      <c r="H208" s="35">
        <v>182.564103</v>
      </c>
      <c r="I208" s="35">
        <v>182.564103</v>
      </c>
    </row>
    <row r="209" spans="2:9" ht="18" customHeight="1" x14ac:dyDescent="0.25">
      <c r="B209" s="22" t="s">
        <v>41</v>
      </c>
      <c r="C209" s="44" t="s">
        <v>100</v>
      </c>
      <c r="D209" s="47" t="s">
        <v>101</v>
      </c>
      <c r="E209" s="44" t="s">
        <v>102</v>
      </c>
      <c r="F209" s="23">
        <v>0</v>
      </c>
      <c r="G209" s="37">
        <v>0</v>
      </c>
      <c r="H209" s="37">
        <v>0</v>
      </c>
      <c r="I209" s="37">
        <v>0</v>
      </c>
    </row>
  </sheetData>
  <autoFilter ref="B9:I209"/>
  <mergeCells count="1">
    <mergeCell ref="B7:E7"/>
  </mergeCells>
  <conditionalFormatting sqref="F10:F209">
    <cfRule type="dataBar" priority="1">
      <dataBar>
        <cfvo type="num" val="0"/>
        <cfvo type="max"/>
        <color rgb="FFC1B4EC"/>
      </dataBar>
      <extLst>
        <ext xmlns:x14="http://schemas.microsoft.com/office/spreadsheetml/2009/9/main" uri="{B025F937-C7B1-47D3-B67F-A62EFF666E3E}">
          <x14:id>{DA7ABA51-AAAA-BBBB-0004-000000000001}</x14:id>
        </ext>
      </extLst>
    </cfRule>
  </conditionalFormatting>
  <printOptions horizontalCentered="1"/>
  <pageMargins left="0.35" right="0.35" top="0.6" bottom="0.55" header="0.3" footer="0.3"/>
  <pageSetup paperSize="9" fitToHeight="0" orientation="landscape"/>
  <headerFooter>
    <oddHeader>&amp;L&amp;"Century Gothic,Bold"&amp;9&amp;K512F8DMinisterio de Trabajo y Desarrollo Humano&amp;R&amp;"Calibri,Regular"&amp;9&amp;K5A5765Septiembre 2026</oddHeader>
    <oddFooter>&amp;L&amp;"Calibri,Regular"&amp;8&amp;K5A5765InfoReportes · Indicadores estratégicos&amp;C&amp;"Calibri,Regular"&amp;8&amp;K5A5765Página &amp;P de &amp;N&amp;R&amp;"Calibri,Regular"&amp;8&amp;K5A5765Fuente: Ministerio de Trabajo y Desarrollo Humano</oddFooter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4-000000000001}">
            <x14:dataBar minLength="0" maxLength="100" gradient="0">
              <x14:cfvo type="num">
                <xm:f>0</xm:f>
              </x14:cfvo>
              <x14:cfvo type="autoMax"/>
              <x14:negativeFillColor rgb="FFFF0000"/>
              <x14:axisColor rgb="FF000000"/>
            </x14:dataBar>
          </x14:cfRule>
          <xm:sqref>F10:F209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5A5765"/>
    <pageSetUpPr fitToPage="1"/>
  </sheetPr>
  <dimension ref="A1:D30"/>
  <sheetViews>
    <sheetView showGridLines="0" zoomScale="95" zoomScaleNormal="95" workbookViewId="0"/>
  </sheetViews>
  <sheetFormatPr defaultRowHeight="15"/>
  <cols>
    <col min="1" max="1" width="3.140625" customWidth="1"/>
    <col min="2" max="2" width="34.7109375" customWidth="1"/>
    <col min="3" max="3" width="96.7109375" customWidth="1"/>
    <col min="4" max="4" width="3.140625" customWidth="1"/>
  </cols>
  <sheetData>
    <row r="1" spans="1:4" ht="12" customHeight="1">
      <c r="A1" s="1"/>
      <c r="B1" s="1"/>
      <c r="C1" s="1"/>
      <c r="D1" s="1"/>
    </row>
    <row r="2" spans="1:4" ht="40" customHeight="1">
      <c r="A2" s="1"/>
      <c r="B2" s="2" t="s">
        <v>109</v>
      </c>
      <c r="C2" s="1"/>
      <c r="D2" s="1"/>
    </row>
    <row r="3" spans="1:4" ht="22" customHeight="1">
      <c r="A3" s="1"/>
      <c r="B3" s="3" t="s">
        <v>1</v>
      </c>
      <c r="C3" s="1"/>
      <c r="D3" s="1"/>
    </row>
    <row r="4" spans="1:4" ht="14" customHeight="1">
      <c r="A4" s="1"/>
      <c r="B4" s="1"/>
      <c r="C4" s="1"/>
      <c r="D4" s="1"/>
    </row>
    <row r="5" spans="1:4" ht="5" customHeight="1">
      <c r="A5" s="4"/>
      <c r="B5" s="4"/>
      <c r="C5" s="4"/>
      <c r="D5" s="4"/>
    </row>
    <row r="7" spans="1:4" ht="27" customHeight="1">
      <c r="B7" s="5" t="s">
        <v>110</v>
      </c>
      <c r="C7" s="6"/>
    </row>
    <row r="8" spans="1:4" ht="34" customHeight="1">
      <c r="B8" s="16" t="s">
        <v>111</v>
      </c>
      <c r="C8" s="33" t="s">
        <v>112</v>
      </c>
    </row>
    <row r="9" spans="1:4" ht="22" customHeight="1">
      <c r="B9" s="18" t="s">
        <v>113</v>
      </c>
      <c r="C9" s="46" t="s">
        <v>114</v>
      </c>
    </row>
    <row r="10" spans="1:4" ht="22" customHeight="1">
      <c r="B10" s="22" t="s">
        <v>115</v>
      </c>
      <c r="C10" s="47" t="s">
        <v>116</v>
      </c>
    </row>
    <row r="11" spans="1:4" ht="22" customHeight="1">
      <c r="B11" s="18" t="s">
        <v>117</v>
      </c>
      <c r="C11" s="46" t="s">
        <v>0</v>
      </c>
    </row>
    <row r="12" spans="1:4" ht="22" customHeight="1">
      <c r="B12" s="22" t="s">
        <v>118</v>
      </c>
      <c r="C12" s="47" t="s">
        <v>3</v>
      </c>
    </row>
    <row r="13" spans="1:4" ht="22" customHeight="1">
      <c r="B13" s="18" t="s">
        <v>119</v>
      </c>
      <c r="C13" s="46" t="s">
        <v>120</v>
      </c>
    </row>
    <row r="14" spans="1:4" ht="22" customHeight="1">
      <c r="B14" s="22" t="s">
        <v>121</v>
      </c>
      <c r="C14" s="47" t="s">
        <v>122</v>
      </c>
    </row>
    <row r="15" spans="1:4" ht="22" customHeight="1">
      <c r="B15" s="18" t="s">
        <v>123</v>
      </c>
      <c r="C15" s="46" t="s">
        <v>124</v>
      </c>
    </row>
    <row r="16" spans="1:4" ht="22" customHeight="1">
      <c r="B16" s="22" t="s">
        <v>125</v>
      </c>
      <c r="C16" s="47" t="s">
        <v>126</v>
      </c>
    </row>
    <row r="18" spans="2:3" ht="27" customHeight="1">
      <c r="B18" s="5" t="s">
        <v>127</v>
      </c>
      <c r="C18" s="6"/>
    </row>
    <row r="19" spans="2:3" ht="34" customHeight="1">
      <c r="B19" s="16" t="s">
        <v>128</v>
      </c>
      <c r="C19" s="33" t="s">
        <v>129</v>
      </c>
    </row>
    <row r="20" spans="2:3" ht="30" customHeight="1">
      <c r="B20" s="18" t="s">
        <v>4</v>
      </c>
      <c r="C20" s="46" t="s">
        <v>130</v>
      </c>
    </row>
    <row r="21" spans="2:3" ht="30" customHeight="1">
      <c r="B21" s="22" t="s">
        <v>7</v>
      </c>
      <c r="C21" s="47" t="s">
        <v>131</v>
      </c>
    </row>
    <row r="22" spans="2:3" ht="30" customHeight="1">
      <c r="B22" s="18" t="s">
        <v>30</v>
      </c>
      <c r="C22" s="46" t="s">
        <v>132</v>
      </c>
    </row>
    <row r="23" spans="2:3" ht="30" customHeight="1">
      <c r="B23" s="22" t="s">
        <v>8</v>
      </c>
      <c r="C23" s="47" t="s">
        <v>133</v>
      </c>
    </row>
    <row r="25" spans="2:3" ht="27" customHeight="1">
      <c r="B25" s="5" t="s">
        <v>134</v>
      </c>
      <c r="C25" s="6"/>
    </row>
    <row r="26" spans="2:3" ht="22" customHeight="1">
      <c r="B26" s="48" t="s">
        <v>135</v>
      </c>
      <c r="C26" s="49" t="s">
        <v>136</v>
      </c>
    </row>
    <row r="27" spans="2:3" ht="22" customHeight="1">
      <c r="B27" s="48" t="s">
        <v>121</v>
      </c>
      <c r="C27" s="49" t="s">
        <v>137</v>
      </c>
    </row>
    <row r="28" spans="2:3" ht="22" customHeight="1">
      <c r="B28" s="48" t="s">
        <v>138</v>
      </c>
      <c r="C28" s="49" t="s">
        <v>139</v>
      </c>
    </row>
    <row r="29" spans="2:3" ht="22" customHeight="1">
      <c r="B29" s="48" t="s">
        <v>140</v>
      </c>
      <c r="C29" s="49" t="s">
        <v>141</v>
      </c>
    </row>
    <row r="30" spans="2:3" ht="22" customHeight="1">
      <c r="B30" s="48" t="s">
        <v>109</v>
      </c>
      <c r="C30" s="49" t="s">
        <v>142</v>
      </c>
    </row>
  </sheetData>
  <hyperlinks>
    <hyperlink ref="B26" location="'Resumen'!A1" tooltip="Ir a la hoja Resumen" display="Resumen"/>
    <hyperlink ref="B27" location="'Programas'!A1" tooltip="Ir a la hoja Programas" display="Programas"/>
    <hyperlink ref="B28" location="'Provincias'!A1" tooltip="Ir a la hoja Provincias" display="Provincias"/>
    <hyperlink ref="B29" location="'Detalle'!A1" tooltip="Ir a la hoja Detalle" display="Detalle"/>
    <hyperlink ref="B30" location="'Ficha técnica'!A1" tooltip="Ir a la hoja Ficha técnica" display="Ficha técnica"/>
  </hyperlinks>
  <printOptions horizontalCentered="1"/>
  <pageMargins left="0.35" right="0.35" top="0.6" bottom="0.55" header="0.3" footer="0.3"/>
  <pageSetup paperSize="9" fitToHeight="0" orientation="portrait"/>
  <headerFooter>
    <oddHeader>&amp;L&amp;"Century Gothic,Bold"&amp;9&amp;K512F8DMinisterio de Trabajo y Desarrollo Humano&amp;R&amp;"Calibri,Regular"&amp;9&amp;K5A5765Septiembre 2026</oddHeader>
    <oddFooter>&amp;L&amp;"Calibri,Regular"&amp;8&amp;K5A5765InfoReportes · Indicadores estratégicos&amp;C&amp;"Calibri,Regular"&amp;8&amp;K5A5765Página &amp;P de &amp;N&amp;R&amp;"Calibri,Regular"&amp;8&amp;K5A5765Fuente: Ministerio de Trabajo y Desarrollo Humano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Resumen</vt:lpstr>
      <vt:lpstr>Programas</vt:lpstr>
      <vt:lpstr>Provincias</vt:lpstr>
      <vt:lpstr>Detalle</vt:lpstr>
      <vt:lpstr>Ficha técnica</vt:lpstr>
      <vt:lpstr>Resumen!Print_Area</vt:lpstr>
      <vt:lpstr>Detalle!Print_Titles</vt:lpstr>
    </vt:vector>
  </TitlesOfParts>
  <Manager>InfoReportes</Manager>
  <Company>Ministerio de Trabajo y Desarrollo Humano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Transferencias monetarias</dc:title>
  <dc:subject>Transferencias monetarias · Septiembre 2026 · Nacional</dc:subject>
  <dc:creator>Ministerio de Trabajo y Desarrollo Humano</dc:creator>
  <cp:keywords>MTDH, InfoReportes, indicadores</cp:keywords>
  <cp:lastModifiedBy>Ministerio de Trabajo y Desarrollo Humano</cp:lastModifiedBy>
  <dcterms:created xsi:type="dcterms:W3CDTF">2026-10-22T23:21:25Z</dcterms:created>
  <dcterms:modified xsi:type="dcterms:W3CDTF">2026-10-22T23:21:25Z</dcterms:modified>
  <cp:category>Indicadores estratégicos</cp:category>
</cp:coreProperties>
</file>