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5200" windowHeight="15600"/>
  </bookViews>
  <sheets>
    <sheet name="Portada" sheetId="1" r:id="rId1"/>
    <sheet name="Resumen" sheetId="2" r:id="rId2"/>
    <sheet name="Bonos y pensiones" sheetId="3" r:id="rId3"/>
    <sheet name="Protección integral" sheetId="4" r:id="rId4"/>
    <sheet name="Territorio" sheetId="5" r:id="rId5"/>
    <sheet name="Detalle" sheetId="6" r:id="rId6"/>
    <sheet name="Notas" sheetId="7" r:id="rId7"/>
  </sheets>
  <definedNames>
    <definedName name="_xlnm._FilterDatabase" localSheetId="5" hidden="1">Detalle!$B$9:$M$305</definedName>
    <definedName name="_xlnm.Print_Area" localSheetId="0">Portada!$A$1:$N$40</definedName>
    <definedName name="_xlnm.Print_Area" localSheetId="1">Resumen!$A$1:$N$67</definedName>
    <definedName name="_xlnm.Print_Titles" localSheetId="5">Detalle!$9:$9</definedName>
  </definedNames>
  <calcPr calcId="124519" fullCalcOnLoad="1"/>
</workbook>
</file>

<file path=xl/sharedStrings.xml><?xml version="1.0" encoding="utf-8"?>
<sst xmlns="http://schemas.openxmlformats.org/spreadsheetml/2006/main" count="2814" uniqueCount="268">
  <si>
    <t>Reporte estadístico institucional</t>
  </si>
  <si>
    <t>Boletín de protección social</t>
  </si>
  <si>
    <t>Septiembre 2026</t>
  </si>
  <si>
    <t>Alcance: Nacional - 24 provincias y zona en estudio</t>
  </si>
  <si>
    <t>Ámbitos: Bonos y pensiones y servicios de protección integral</t>
  </si>
  <si>
    <t>Generado el 22 de octubre de 2026, 16:44 (hora de Ecuador)</t>
  </si>
  <si>
    <t>Indicadores principales</t>
  </si>
  <si>
    <t>Beneficiarios de bonos y pensiones</t>
  </si>
  <si>
    <t>8 programas de transferencias monetarias</t>
  </si>
  <si>
    <t>Usuarios de servicios de protección integral</t>
  </si>
  <si>
    <t>4 servicios de atención directa</t>
  </si>
  <si>
    <t>Unidades de atención</t>
  </si>
  <si>
    <t>Reportadas por los servicios de protección integral</t>
  </si>
  <si>
    <t>Monto fiscal 2026</t>
  </si>
  <si>
    <t>Acumulado de gobierno: USD 4.512,4 millones</t>
  </si>
  <si>
    <t>Contenido del libro</t>
  </si>
  <si>
    <t>Haz clic en el nombre de una hoja para abrirla</t>
  </si>
  <si>
    <t>Portada</t>
  </si>
  <si>
    <t>Título, alcance, indicadores principales y este índice</t>
  </si>
  <si>
    <t>Resumen</t>
  </si>
  <si>
    <t>Lectura del corte, indicadores por ámbito y gráficos por programa</t>
  </si>
  <si>
    <t>Bonos y pensiones</t>
  </si>
  <si>
    <t>Tabla por programa con participación, recursos y provincias principales</t>
  </si>
  <si>
    <t>Protección integral</t>
  </si>
  <si>
    <t>Usuarios, unidades de atención y recursos por servicio</t>
  </si>
  <si>
    <t>Territorio</t>
  </si>
  <si>
    <t>Mapa coroplético, ranking, indicadores por provincia y composición por programa</t>
  </si>
  <si>
    <t>Detalle</t>
  </si>
  <si>
    <t>Cada programa en cada provincia, con filtros y totales que se recalculan</t>
  </si>
  <si>
    <t>Notas</t>
  </si>
  <si>
    <t>Criterios de lectura, definiciones, controles de calidad y trazabilidad</t>
  </si>
  <si>
    <t>Ficha técnica</t>
  </si>
  <si>
    <t>Fuente</t>
  </si>
  <si>
    <t>Acumulado VIS-VIE.xlsx (hoja provincial)</t>
  </si>
  <si>
    <t>Identificación del corte</t>
  </si>
  <si>
    <t>Resumen_Ejecutivo_MTDH_2026_09.pdf: Septiembre 2026; totales provinciales conciliados con el boletín.</t>
  </si>
  <si>
    <t>Huella SHA-256 de la fuente</t>
  </si>
  <si>
    <t>e3f627a1ad8f00b1d7081348a49bc66f79561d058b0a7198b08c177318aeb77e</t>
  </si>
  <si>
    <t>Selección exportada</t>
  </si>
  <si>
    <t>Código a08650cd76fc; 296 registros de programa por provincia</t>
  </si>
  <si>
    <t>Unidad monetaria</t>
  </si>
  <si>
    <t>Dólares de los Estados Unidos (USD). Montos acumulados; no son transferencias mensuales.</t>
  </si>
  <si>
    <t>Elaborado por</t>
  </si>
  <si>
    <t>Ministerio de Trabajo y Desarrollo Humano</t>
  </si>
  <si>
    <t>Las cifras son agregados por programa y provincia. Una misma persona puede constar en más de un programa, por eso beneficiarios y usuarios no se suman como personas únicas. N/D indica información no disponible.</t>
  </si>
  <si>
    <t>Resumen ejecutivo</t>
  </si>
  <si>
    <t>Septiembre 2026 · Nacional - 24 provincias y zona en estudio</t>
  </si>
  <si>
    <t>Lectura del corte</t>
  </si>
  <si>
    <t>●</t>
  </si>
  <si>
    <t>La selección reúne 1.578.019 beneficiarios reportados en 8 programas.</t>
  </si>
  <si>
    <t>Bono de Desarrollo Humano concentra el 39,2 % del total seleccionado, con 619.073 registros reportados.</t>
  </si>
  <si>
    <t>Guayas, Manabí y Los Ríos concentran el 41,4 % de la cobertura seleccionada en este ámbito.</t>
  </si>
  <si>
    <t>La selección reúne 456.239 usuarios reportados en 4 servicios.</t>
  </si>
  <si>
    <t>Desarrollo Infantil Integral concentra el 60,3 % del total seleccionado, con 274.975 registros reportados.</t>
  </si>
  <si>
    <t>Guayas, Manabí y Pichincha concentran el 39,1 % de la cobertura seleccionada en este ámbito.</t>
  </si>
  <si>
    <t>Indicadores por ámbito</t>
  </si>
  <si>
    <t>Montos en millones de USD</t>
  </si>
  <si>
    <t>Ámbito</t>
  </si>
  <si>
    <t>Programas</t>
  </si>
  <si>
    <t>Beneficiarios o usuarios</t>
  </si>
  <si>
    <t>Acumulado 2023–2025</t>
  </si>
  <si>
    <t>Acumulado de gobierno</t>
  </si>
  <si>
    <t>Presupuesto ejecutado</t>
  </si>
  <si>
    <t>No aplica</t>
  </si>
  <si>
    <t>N/D</t>
  </si>
  <si>
    <t>Servicios de protección integral</t>
  </si>
  <si>
    <t>Cobertura y recursos por programa</t>
  </si>
  <si>
    <t>Programa o servicio</t>
  </si>
  <si>
    <t>Participación en la cobertura</t>
  </si>
  <si>
    <t>Bono de Desarrollo Humano</t>
  </si>
  <si>
    <t>Bono de Desarrollo Humano Variable</t>
  </si>
  <si>
    <t>Pensión Mis Mejores Años</t>
  </si>
  <si>
    <t>Desarrollo Infantil Integral</t>
  </si>
  <si>
    <t>Bono 1.000 Días</t>
  </si>
  <si>
    <t>Personas adultas mayores</t>
  </si>
  <si>
    <t>Pensión Toda Una Vida</t>
  </si>
  <si>
    <t>Bono Joaquín Gallegos Lara</t>
  </si>
  <si>
    <t>Personas con discapacidad</t>
  </si>
  <si>
    <t>Protección Especial</t>
  </si>
  <si>
    <t>Pensión para Adultos Mayores</t>
  </si>
  <si>
    <t>Pensión para Personas con Discapacidad</t>
  </si>
  <si>
    <t>Total de la selección</t>
  </si>
  <si>
    <t>Programas de transferencias monetarias · Septiembre 2026 · Nacional - 24 provincias y zona en estudio</t>
  </si>
  <si>
    <t>Indicadores del ámbito</t>
  </si>
  <si>
    <t>Beneficiarios reportados</t>
  </si>
  <si>
    <t>Conteos agregados; no equivalen a personas únicas</t>
  </si>
  <si>
    <t>Columna Presupuesto 2026 de la fuente</t>
  </si>
  <si>
    <t>Acumulado 2023–2025 más el monto fiscal</t>
  </si>
  <si>
    <t>Detalle por programa</t>
  </si>
  <si>
    <t>Montos en USD</t>
  </si>
  <si>
    <t>N.º</t>
  </si>
  <si>
    <t>Programa</t>
  </si>
  <si>
    <t>Beneficiarios</t>
  </si>
  <si>
    <t>Participación</t>
  </si>
  <si>
    <t>1</t>
  </si>
  <si>
    <t>2</t>
  </si>
  <si>
    <t>3</t>
  </si>
  <si>
    <t>4</t>
  </si>
  <si>
    <t>5</t>
  </si>
  <si>
    <t>6</t>
  </si>
  <si>
    <t>7</t>
  </si>
  <si>
    <t>8</t>
  </si>
  <si>
    <t>El acumulado de gobierno ya incluye el monto fiscal; no se suman entre sí. Presupuesto ejecutado: N/D mientras no exista una fuente verificada.</t>
  </si>
  <si>
    <t>Provincias con mayor cobertura</t>
  </si>
  <si>
    <t>Diez principales de la selección</t>
  </si>
  <si>
    <t>Provincia o territorio</t>
  </si>
  <si>
    <t>Región natural</t>
  </si>
  <si>
    <t>Guayas</t>
  </si>
  <si>
    <t>Costa</t>
  </si>
  <si>
    <t>Manabí</t>
  </si>
  <si>
    <t>Los Ríos</t>
  </si>
  <si>
    <t>Pichincha</t>
  </si>
  <si>
    <t>Sierra</t>
  </si>
  <si>
    <t>Esmeraldas</t>
  </si>
  <si>
    <t>Chimborazo</t>
  </si>
  <si>
    <t>Cotopaxi</t>
  </si>
  <si>
    <t>Loja</t>
  </si>
  <si>
    <t>9</t>
  </si>
  <si>
    <t>Imbabura</t>
  </si>
  <si>
    <t>10</t>
  </si>
  <si>
    <t>Azuay</t>
  </si>
  <si>
    <t>Servicios de atención directa · Septiembre 2026 · Nacional - 24 provincias y zona en estudio</t>
  </si>
  <si>
    <t>Usuarios reportados</t>
  </si>
  <si>
    <t>Centros y modalidades reportados por los servicios</t>
  </si>
  <si>
    <t>Detalle por servicio</t>
  </si>
  <si>
    <t>Servicio</t>
  </si>
  <si>
    <t>Usuarios</t>
  </si>
  <si>
    <t>El Oro</t>
  </si>
  <si>
    <t>Cobertura y recursos por provincia · Septiembre 2026 · Nacional - 24 provincias y zona en estudio</t>
  </si>
  <si>
    <t>Mapa de la cobertura reportada</t>
  </si>
  <si>
    <t>Galápagos se muestra en un recuadro</t>
  </si>
  <si>
    <t>Ranking provincial de la cobertura</t>
  </si>
  <si>
    <t>Participación de cada provincia en la cobertura reportada de la selección. Las tres primeras se destacan en morado. La cobertura suma registros de distintos programas; no son personas únicas.</t>
  </si>
  <si>
    <t>Indicadores por provincia</t>
  </si>
  <si>
    <t>Código</t>
  </si>
  <si>
    <t>Beneficiarios de bonos</t>
  </si>
  <si>
    <t>Usuarios de servicios</t>
  </si>
  <si>
    <t>Cobertura reportada total</t>
  </si>
  <si>
    <t>09</t>
  </si>
  <si>
    <t>13</t>
  </si>
  <si>
    <t>12</t>
  </si>
  <si>
    <t>17</t>
  </si>
  <si>
    <t>08</t>
  </si>
  <si>
    <t>06</t>
  </si>
  <si>
    <t>11</t>
  </si>
  <si>
    <t>05</t>
  </si>
  <si>
    <t>01</t>
  </si>
  <si>
    <t>07</t>
  </si>
  <si>
    <t>24</t>
  </si>
  <si>
    <t>Santa Elena</t>
  </si>
  <si>
    <t>18</t>
  </si>
  <si>
    <t>Tungurahua</t>
  </si>
  <si>
    <t>23</t>
  </si>
  <si>
    <t>Santo Domingo de los Tsáchilas</t>
  </si>
  <si>
    <t>02</t>
  </si>
  <si>
    <t>Bolívar</t>
  </si>
  <si>
    <t>14</t>
  </si>
  <si>
    <t>Morona Santiago</t>
  </si>
  <si>
    <t>Amazonía</t>
  </si>
  <si>
    <t>03</t>
  </si>
  <si>
    <t>Cañar</t>
  </si>
  <si>
    <t>21</t>
  </si>
  <si>
    <t>Sucumbíos</t>
  </si>
  <si>
    <t>22</t>
  </si>
  <si>
    <t>Orellana</t>
  </si>
  <si>
    <t>04</t>
  </si>
  <si>
    <t>Carchi</t>
  </si>
  <si>
    <t>15</t>
  </si>
  <si>
    <t>Napo</t>
  </si>
  <si>
    <t>16</t>
  </si>
  <si>
    <t>Pastaza</t>
  </si>
  <si>
    <t>19</t>
  </si>
  <si>
    <t>Zamora Chinchipe</t>
  </si>
  <si>
    <t>20</t>
  </si>
  <si>
    <t>Galápagos</t>
  </si>
  <si>
    <t>Insular</t>
  </si>
  <si>
    <t>90</t>
  </si>
  <si>
    <t>Zona en estudio</t>
  </si>
  <si>
    <t>Sin delimitar</t>
  </si>
  <si>
    <t>La zona en estudio se incluye en los totales, pero no tiene polígono en el mapa. Las unidades de atención corresponden solo a servicios de protección integral.</t>
  </si>
  <si>
    <t>Composición por programa</t>
  </si>
  <si>
    <t>Beneficiarios o usuarios por provincia y programa</t>
  </si>
  <si>
    <t>BDH</t>
  </si>
  <si>
    <t>BDH-V</t>
  </si>
  <si>
    <t>PMMA</t>
  </si>
  <si>
    <t>DII</t>
  </si>
  <si>
    <t>B1000</t>
  </si>
  <si>
    <t>S-PAM</t>
  </si>
  <si>
    <t>PTUV</t>
  </si>
  <si>
    <t>BJGL</t>
  </si>
  <si>
    <t>S-PCD</t>
  </si>
  <si>
    <t>PE</t>
  </si>
  <si>
    <t>PAM</t>
  </si>
  <si>
    <t>PCD</t>
  </si>
  <si>
    <t>Siglas: BDH: Bono de Desarrollo Humano; BDH-V: Bono de Desarrollo Humano Variable; PMMA: Pensión Mis Mejores Años; DII: Desarrollo Infantil Integral; B1000: Bono 1.000 Días; S-PAM: Personas adultas mayores; PTUV: Pensión Toda Una Vida; BJGL: Bono Joaquín Gallegos Lara; S-PCD: Personas con discapacidad; PE: Protección Especial; PAM: Pensión para Adultos Mayores; PCD: Pensión para Personas con Discapacidad.</t>
  </si>
  <si>
    <t>Detalle por programa y provincia</t>
  </si>
  <si>
    <t>Septiembre 2026 · Nacional - 24 provincias y zona en estudio · usa los filtros del encabezado</t>
  </si>
  <si>
    <t>Total de las filas visibles (se recalcula al filtrar)</t>
  </si>
  <si>
    <t>Código del programa</t>
  </si>
  <si>
    <t>Código provincial</t>
  </si>
  <si>
    <t>Monto fiscal 2026 (USD)</t>
  </si>
  <si>
    <t>Acumulado 2023–2025 (USD)</t>
  </si>
  <si>
    <t>Acumulado de gobierno (USD)</t>
  </si>
  <si>
    <t>Presupuesto ejecutado (USD)</t>
  </si>
  <si>
    <t>BMD</t>
  </si>
  <si>
    <t>BDHV</t>
  </si>
  <si>
    <t>MMA</t>
  </si>
  <si>
    <t>PTV</t>
  </si>
  <si>
    <t>PAM_SERV</t>
  </si>
  <si>
    <t>PCD_SERV</t>
  </si>
  <si>
    <t>Notas metodológicas</t>
  </si>
  <si>
    <t>Cómo leer las cifras de este libro · Septiembre 2026</t>
  </si>
  <si>
    <t>Criterios de lectura</t>
  </si>
  <si>
    <t>Criterio</t>
  </si>
  <si>
    <t>Descripción</t>
  </si>
  <si>
    <t>Criterio 1</t>
  </si>
  <si>
    <t>Beneficiarios y usuarios corresponden a conteos reportados en una base agregada. La fuente no permite comprobar personas únicas ni eliminar coincidencias entre programas.</t>
  </si>
  <si>
    <t>Criterio 2</t>
  </si>
  <si>
    <t>El monto fiscal corresponde a la columna Presupuesto 2026 de la fuente. El acumulado de gobierno incluye el monto fiscal y los períodos anteriores. No deben sumarse entre sí.</t>
  </si>
  <si>
    <t>Criterio 3</t>
  </si>
  <si>
    <t>Los montos no representan transferencias del mes. La fuente no certifica por sí sola el presupuesto ejecutado, que se presenta como N/D cuando no existe una validación adicional.</t>
  </si>
  <si>
    <t>Criterio 4</t>
  </si>
  <si>
    <t>Las unidades corresponden a servicios de protección integral. En bonos y pensiones este indicador no aplica. N/D distingue información no disponible de un cero reportado.</t>
  </si>
  <si>
    <t>Criterio 5</t>
  </si>
  <si>
    <t>Identificación del corte: Resumen_Ejecutivo_MTDH_2026_09.pdf: Septiembre 2026; totales provinciales conciliados con el boletín.</t>
  </si>
  <si>
    <t>Definiciones</t>
  </si>
  <si>
    <t>Indicador</t>
  </si>
  <si>
    <t>Definición</t>
  </si>
  <si>
    <t>Corte</t>
  </si>
  <si>
    <t>Mes de corte informado para la base. No es la fecha de cada transacción.</t>
  </si>
  <si>
    <t>Beneficiarios y usuarios</t>
  </si>
  <si>
    <t>Conteo agregado que reporta cada programa: beneficiarios en bonos y pensiones, usuarios en los servicios. No equivale a personas únicas.</t>
  </si>
  <si>
    <t>Unidades de atención reportadas por los servicios de protección integral. No aplica a bonos y pensiones.</t>
  </si>
  <si>
    <t>Columna Presupuesto 2026 de la fuente, en USD. La fuente no certifica si corresponde a devengado, pagado u otra fase.</t>
  </si>
  <si>
    <t>Acumulado 2023–2025 reportado por la fuente, en USD.</t>
  </si>
  <si>
    <t>Acumulado 2023–2025 más el monto fiscal 2026, en USD. No se suma otra vez con sus componentes.</t>
  </si>
  <si>
    <t>Ejecución verificada con un archivo complementario. Si falta, figura como no disponible, nunca como cero.</t>
  </si>
  <si>
    <t>Código provincial de dos dígitos. La zona en estudio usa el código interno 90 y no cuenta como provincia.</t>
  </si>
  <si>
    <t>Procedencia del registro</t>
  </si>
  <si>
    <t>Hoja y fila del Excel original de las que proviene cada registro.</t>
  </si>
  <si>
    <t>Controles de calidad de la base</t>
  </si>
  <si>
    <t>Control</t>
  </si>
  <si>
    <t>Resultado</t>
  </si>
  <si>
    <t>Claves duplicadas</t>
  </si>
  <si>
    <t>0</t>
  </si>
  <si>
    <t>Valores negativos</t>
  </si>
  <si>
    <t>Conteos fraccionarios</t>
  </si>
  <si>
    <t>Acumulados no conciliados</t>
  </si>
  <si>
    <t>Diferencias con la referencia 2025</t>
  </si>
  <si>
    <t>Filas con ejecución verificada</t>
  </si>
  <si>
    <t>Decimales monetarios conservados</t>
  </si>
  <si>
    <t>Tolerancia de conciliación (USD)</t>
  </si>
  <si>
    <t>0,01</t>
  </si>
  <si>
    <t>Trazabilidad</t>
  </si>
  <si>
    <t>Elemento</t>
  </si>
  <si>
    <t>Valor</t>
  </si>
  <si>
    <t>Acumulado VIS-VIE.xlsx</t>
  </si>
  <si>
    <t>Huella SHA-256</t>
  </si>
  <si>
    <t>Generado</t>
  </si>
  <si>
    <t>22 de octubre de 2026, 16:44 (hora de Ecuador)</t>
  </si>
  <si>
    <t>Selección</t>
  </si>
  <si>
    <t>a08650cd76fc</t>
  </si>
  <si>
    <t>Registros exportados</t>
  </si>
  <si>
    <t>296</t>
  </si>
  <si>
    <t>Provincias y territorios</t>
  </si>
  <si>
    <t>Azuay, Bolívar, Carchi, Cañar, Chimborazo, Cotopaxi, El Oro, Esmeraldas, Galápagos, Guayas, Imbabura, Loja, Los Ríos, Manabí, Morona Santiago, Napo, Orellana, Pastaza, Pichincha, Santa Elena, Santo Domingo de los Tsáchilas, Sucumbíos, Tungurahua, Zamora Chinchipe, Zona en estudio</t>
  </si>
  <si>
    <t>Siglas de programas y servicios</t>
  </si>
  <si>
    <t>Sigla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</si>
</sst>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&quot;USD &quot;#,##0.0,,&quot; M&quot;"/>
    <numFmt numFmtId="166" formatCode="#,##0.00,,"/>
    <numFmt numFmtId="167" formatCode="0.0%"/>
    <numFmt numFmtId="168" formatCode="#,##0.00"/>
  </numFmts>
  <fonts count="34">
    <font>
      <sz val="11"/>
      <color theme="1"/>
      <name val="Calibri"/>
      <family val="2"/>
      <scheme val="minor"/>
    </font>
    <font>
      <sz val="10.5"/>
      <color rgb="FF20202B"/>
      <name val="Calibri"/>
      <family val="2"/>
      <scheme val="minor"/>
    </font>
    <font>
      <b/>
      <sz val="10.5"/>
      <color rgb="FFD9CCF0"/>
      <name val="Calibri"/>
      <family val="2"/>
      <scheme val="minor"/>
    </font>
    <font>
      <b/>
      <sz val="25"/>
      <color rgb="FFFFFFFF"/>
      <name val="Century Gothic"/>
      <family val="2"/>
    </font>
    <font>
      <b/>
      <sz val="15"/>
      <color rgb="FFF8C018"/>
      <name val="Century Gothic"/>
      <family val="2"/>
    </font>
    <font>
      <sz val="10.5"/>
      <color rgb="FFE9E2F6"/>
      <name val="Calibri"/>
      <family val="2"/>
      <scheme val="minor"/>
    </font>
    <font>
      <i/>
      <sz val="9"/>
      <color rgb="FFCBBEE3"/>
      <name val="Calibri"/>
      <family val="2"/>
      <scheme val="minor"/>
    </font>
    <font>
      <b/>
      <sz val="13"/>
      <color rgb="FF2B164F"/>
      <name val="Century Gothic"/>
      <family val="2"/>
    </font>
    <font>
      <i/>
      <sz val="9"/>
      <color rgb="FF6E6880"/>
      <name val="Calibri"/>
      <family val="2"/>
      <scheme val="minor"/>
    </font>
    <font>
      <b/>
      <sz val="9.5"/>
      <color rgb="FF5A5765"/>
      <name val="Calibri"/>
      <family val="2"/>
      <scheme val="minor"/>
    </font>
    <font>
      <b/>
      <sz val="22"/>
      <color rgb="FF2B164F"/>
      <name val="Century Gothic"/>
      <family val="2"/>
    </font>
    <font>
      <sz val="9"/>
      <color rgb="FF6E6880"/>
      <name val="Calibri"/>
      <family val="2"/>
      <scheme val="minor"/>
    </font>
    <font>
      <b/>
      <sz val="11"/>
      <color rgb="FF512F8D"/>
      <name val="Century Gothic"/>
      <family val="2"/>
    </font>
    <font>
      <sz val="10"/>
      <color rgb="FF5A5765"/>
      <name val="Calibri"/>
      <family val="2"/>
      <scheme val="minor"/>
    </font>
    <font>
      <b/>
      <sz val="9.5"/>
      <color rgb="FF3D216D"/>
      <name val="Calibri"/>
      <family val="2"/>
      <scheme val="minor"/>
    </font>
    <font>
      <sz val="9.5"/>
      <color rgb="FF5A5765"/>
      <name val="Calibri"/>
      <family val="2"/>
      <scheme val="minor"/>
    </font>
    <font>
      <sz val="9.5"/>
      <color rgb="FF3D216D"/>
      <name val="Calibri"/>
      <family val="2"/>
      <scheme val="minor"/>
    </font>
    <font>
      <b/>
      <sz val="20"/>
      <color rgb="FFFFFFFF"/>
      <name val="Century Gothic"/>
      <family val="2"/>
    </font>
    <font>
      <sz val="10"/>
      <color rgb="FFE4DBF3"/>
      <name val="Calibri"/>
      <family val="2"/>
      <scheme val="minor"/>
    </font>
    <font>
      <sz val="9"/>
      <color rgb="FFF8C018"/>
      <name val="Calibri"/>
      <family val="2"/>
      <scheme val="minor"/>
    </font>
    <font>
      <b/>
      <sz val="9"/>
      <color rgb="FFFFFFFF"/>
      <name val="Century Gothic"/>
      <family val="2"/>
    </font>
    <font>
      <b/>
      <sz val="10.5"/>
      <color rgb="FF2B164F"/>
      <name val="Calibri"/>
      <family val="2"/>
      <scheme val="minor"/>
    </font>
    <font>
      <sz val="10.5"/>
      <color rgb="FF20202B"/>
      <name val="Calibri"/>
      <family val="2"/>
      <scheme val="minor"/>
    </font>
    <font>
      <i/>
      <sz val="10.5"/>
      <color rgb="FF8A80A0"/>
      <name val="Calibri"/>
      <family val="2"/>
      <scheme val="minor"/>
    </font>
    <font>
      <sz val="10.5"/>
      <color rgb="FF6E6880"/>
      <name val="Calibri"/>
      <family val="2"/>
      <scheme val="minor"/>
    </font>
    <font>
      <b/>
      <sz val="10.5"/>
      <color rgb="FF20202B"/>
      <name val="Calibri"/>
      <family val="2"/>
      <scheme val="minor"/>
    </font>
    <font>
      <b/>
      <i/>
      <sz val="10.5"/>
      <color rgb="FF8A80A0"/>
      <name val="Calibri"/>
      <family val="2"/>
      <scheme val="minor"/>
    </font>
    <font>
      <b/>
      <sz val="12"/>
      <color rgb="FF2B164F"/>
      <name val="Century Gothic"/>
      <family val="2"/>
    </font>
    <font>
      <b/>
      <sz val="10.5"/>
      <color rgb="FFFFFFFF"/>
      <name val="Century Gothic"/>
      <family val="2"/>
    </font>
    <font>
      <sz val="10.5"/>
      <color rgb="FF5A5765"/>
      <name val="Calibri"/>
      <family val="2"/>
      <scheme val="minor"/>
    </font>
    <font>
      <b/>
      <sz val="10.5"/>
      <color rgb="FF512F8D"/>
      <name val="Century Gothic"/>
      <family val="2"/>
    </font>
    <font>
      <sz val="10.5"/>
      <color rgb="FF2B164F"/>
      <name val="Calibri"/>
      <family val="2"/>
      <scheme val="minor"/>
    </font>
    <font>
      <sz val="9.5"/>
      <color rgb="FF20202B"/>
      <name val="Calibri"/>
      <family val="2"/>
      <scheme val="minor"/>
    </font>
    <font>
      <b/>
      <sz val="17"/>
      <color rgb="FFFFFFFF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512F8D"/>
        <bgColor indexed="64"/>
      </patternFill>
    </fill>
    <fill>
      <patternFill patternType="solid">
        <fgColor rgb="FFF8C018"/>
        <bgColor indexed="64"/>
      </patternFill>
    </fill>
    <fill>
      <patternFill patternType="solid">
        <fgColor rgb="FFF7F5FA"/>
        <bgColor indexed="64"/>
      </patternFill>
    </fill>
    <fill>
      <patternFill patternType="solid">
        <fgColor rgb="FFF1ED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5F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C1B4EC"/>
      </bottom>
      <diagonal/>
    </border>
    <border>
      <left/>
      <right/>
      <top style="thick">
        <color rgb="FF512F8D"/>
      </top>
      <bottom/>
      <diagonal/>
    </border>
    <border>
      <left/>
      <right/>
      <top style="thick">
        <color rgb="FFC33F8D"/>
      </top>
      <bottom/>
      <diagonal/>
    </border>
    <border>
      <left/>
      <right/>
      <top style="thick">
        <color rgb="FF7657B9"/>
      </top>
      <bottom/>
      <diagonal/>
    </border>
    <border>
      <left/>
      <right/>
      <top style="thick">
        <color rgb="FFF8C018"/>
      </top>
      <bottom/>
      <diagonal/>
    </border>
    <border>
      <left/>
      <right/>
      <top/>
      <bottom style="hair">
        <color rgb="FFE7E2EF"/>
      </bottom>
      <diagonal/>
    </border>
    <border>
      <left style="thick">
        <color rgb="FF512F8D"/>
      </left>
      <right/>
      <top/>
      <bottom/>
      <diagonal/>
    </border>
    <border>
      <left style="thin">
        <color rgb="FF7458AE"/>
      </left>
      <right/>
      <top/>
      <bottom/>
      <diagonal/>
    </border>
    <border>
      <left/>
      <right/>
      <top style="medium">
        <color rgb="FF512F8D"/>
      </top>
      <bottom/>
      <diagonal/>
    </border>
    <border>
      <left/>
      <right/>
      <top style="medium">
        <color rgb="FF512F8D"/>
      </top>
      <bottom style="hair">
        <color rgb="FFE7E2EF"/>
      </bottom>
      <diagonal/>
    </border>
    <border>
      <left/>
      <right/>
      <top style="thick">
        <color rgb="FF603EA0"/>
      </top>
      <bottom/>
      <diagonal/>
    </border>
    <border>
      <left/>
      <right/>
      <top style="thick">
        <color rgb="FFA995E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 indent="1" wrapText="1"/>
    </xf>
    <xf numFmtId="0" fontId="9" fillId="4" borderId="3" xfId="0" applyFont="1" applyFill="1" applyBorder="1" applyAlignment="1">
      <alignment horizontal="left" vertical="center" indent="1" wrapText="1"/>
    </xf>
    <xf numFmtId="0" fontId="9" fillId="4" borderId="4" xfId="0" applyFont="1" applyFill="1" applyBorder="1" applyAlignment="1">
      <alignment horizontal="left" vertical="center" indent="1" wrapText="1"/>
    </xf>
    <xf numFmtId="0" fontId="9" fillId="4" borderId="5" xfId="0" applyFont="1" applyFill="1" applyBorder="1" applyAlignment="1">
      <alignment horizontal="left" vertical="center" indent="1" wrapText="1"/>
    </xf>
    <xf numFmtId="164" fontId="10" fillId="4" borderId="0" xfId="0" applyNumberFormat="1" applyFont="1" applyFill="1" applyAlignment="1">
      <alignment horizontal="left" vertical="center" indent="1" shrinkToFit="1"/>
    </xf>
    <xf numFmtId="0" fontId="1" fillId="4" borderId="0" xfId="0" applyFont="1" applyFill="1" applyAlignment="1">
      <alignment vertical="center"/>
    </xf>
    <xf numFmtId="165" fontId="10" fillId="4" borderId="0" xfId="0" applyNumberFormat="1" applyFont="1" applyFill="1" applyAlignment="1">
      <alignment horizontal="left" vertical="center" indent="1" shrinkToFit="1"/>
    </xf>
    <xf numFmtId="0" fontId="11" fillId="4" borderId="0" xfId="0" applyFont="1" applyFill="1" applyAlignment="1">
      <alignment vertical="top" indent="1" wrapText="1"/>
    </xf>
    <xf numFmtId="0" fontId="12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4" fillId="0" borderId="6" xfId="0" applyFont="1" applyBorder="1" applyAlignment="1">
      <alignment horizontal="left" vertical="center" indent="1"/>
    </xf>
    <xf numFmtId="0" fontId="15" fillId="0" borderId="6" xfId="0" applyFont="1" applyBorder="1" applyAlignment="1">
      <alignment vertical="center" wrapText="1"/>
    </xf>
    <xf numFmtId="0" fontId="16" fillId="5" borderId="7" xfId="0" applyFont="1" applyFill="1" applyBorder="1" applyAlignment="1">
      <alignment horizontal="left" vertical="center" indent="1" wrapText="1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0" fillId="2" borderId="0" xfId="0" applyFont="1" applyFill="1" applyAlignment="1">
      <alignment horizontal="left" vertical="center" indent="1" wrapText="1"/>
    </xf>
    <xf numFmtId="0" fontId="20" fillId="2" borderId="8" xfId="0" applyFont="1" applyFill="1" applyBorder="1" applyAlignment="1">
      <alignment horizontal="right" vertical="center" wrapText="1"/>
    </xf>
    <xf numFmtId="0" fontId="21" fillId="6" borderId="6" xfId="0" applyFont="1" applyFill="1" applyBorder="1" applyAlignment="1">
      <alignment horizontal="left" vertical="center" indent="1" wrapText="1"/>
    </xf>
    <xf numFmtId="164" fontId="22" fillId="6" borderId="6" xfId="0" applyNumberFormat="1" applyFont="1" applyFill="1" applyBorder="1" applyAlignment="1">
      <alignment horizontal="right" vertical="center"/>
    </xf>
    <xf numFmtId="0" fontId="23" fillId="6" borderId="6" xfId="0" applyFont="1" applyFill="1" applyBorder="1" applyAlignment="1">
      <alignment horizontal="right" vertical="center"/>
    </xf>
    <xf numFmtId="166" fontId="22" fillId="6" borderId="6" xfId="0" applyNumberFormat="1" applyFont="1" applyFill="1" applyBorder="1" applyAlignment="1">
      <alignment horizontal="right" vertical="center"/>
    </xf>
    <xf numFmtId="0" fontId="21" fillId="4" borderId="6" xfId="0" applyFont="1" applyFill="1" applyBorder="1" applyAlignment="1">
      <alignment horizontal="left" vertical="center" indent="1" wrapText="1"/>
    </xf>
    <xf numFmtId="164" fontId="22" fillId="4" borderId="6" xfId="0" applyNumberFormat="1" applyFont="1" applyFill="1" applyBorder="1" applyAlignment="1">
      <alignment horizontal="right" vertical="center"/>
    </xf>
    <xf numFmtId="166" fontId="22" fillId="4" borderId="6" xfId="0" applyNumberFormat="1" applyFont="1" applyFill="1" applyBorder="1" applyAlignment="1">
      <alignment horizontal="right" vertical="center"/>
    </xf>
    <xf numFmtId="0" fontId="23" fillId="4" borderId="6" xfId="0" applyFont="1" applyFill="1" applyBorder="1" applyAlignment="1">
      <alignment horizontal="right" vertical="center"/>
    </xf>
    <xf numFmtId="0" fontId="20" fillId="2" borderId="8" xfId="0" applyFont="1" applyFill="1" applyBorder="1" applyAlignment="1">
      <alignment horizontal="left" vertical="center" indent="1" wrapText="1"/>
    </xf>
    <xf numFmtId="0" fontId="24" fillId="6" borderId="6" xfId="0" applyFont="1" applyFill="1" applyBorder="1" applyAlignment="1">
      <alignment horizontal="left" vertical="center" indent="1"/>
    </xf>
    <xf numFmtId="167" fontId="22" fillId="6" borderId="6" xfId="0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horizontal="left" vertical="center" indent="1"/>
    </xf>
    <xf numFmtId="167" fontId="22" fillId="4" borderId="6" xfId="0" applyNumberFormat="1" applyFont="1" applyFill="1" applyBorder="1" applyAlignment="1">
      <alignment horizontal="right" vertical="center"/>
    </xf>
    <xf numFmtId="0" fontId="21" fillId="7" borderId="9" xfId="0" applyFont="1" applyFill="1" applyBorder="1" applyAlignment="1">
      <alignment horizontal="left" vertical="center" indent="1"/>
    </xf>
    <xf numFmtId="0" fontId="1" fillId="7" borderId="9" xfId="0" applyFont="1" applyFill="1" applyBorder="1" applyAlignment="1">
      <alignment vertical="center"/>
    </xf>
    <xf numFmtId="164" fontId="25" fillId="7" borderId="10" xfId="0" applyNumberFormat="1" applyFont="1" applyFill="1" applyBorder="1" applyAlignment="1">
      <alignment horizontal="right" vertical="center"/>
    </xf>
    <xf numFmtId="167" fontId="25" fillId="7" borderId="10" xfId="0" applyNumberFormat="1" applyFont="1" applyFill="1" applyBorder="1" applyAlignment="1">
      <alignment horizontal="right" vertical="center"/>
    </xf>
    <xf numFmtId="166" fontId="25" fillId="7" borderId="10" xfId="0" applyNumberFormat="1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left" vertical="center" indent="1" wrapText="1"/>
    </xf>
    <xf numFmtId="0" fontId="9" fillId="4" borderId="12" xfId="0" applyFont="1" applyFill="1" applyBorder="1" applyAlignment="1">
      <alignment horizontal="left" vertical="center" indent="1" wrapText="1"/>
    </xf>
    <xf numFmtId="0" fontId="20" fillId="2" borderId="0" xfId="0" applyFont="1" applyFill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/>
    </xf>
    <xf numFmtId="168" fontId="22" fillId="6" borderId="6" xfId="0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horizontal="center" vertical="center"/>
    </xf>
    <xf numFmtId="168" fontId="22" fillId="4" borderId="6" xfId="0" applyNumberFormat="1" applyFont="1" applyFill="1" applyBorder="1" applyAlignment="1">
      <alignment horizontal="right" vertical="center"/>
    </xf>
    <xf numFmtId="168" fontId="25" fillId="7" borderId="10" xfId="0" applyNumberFormat="1" applyFont="1" applyFill="1" applyBorder="1" applyAlignment="1">
      <alignment horizontal="right" vertical="center"/>
    </xf>
    <xf numFmtId="0" fontId="26" fillId="7" borderId="9" xfId="0" applyFont="1" applyFill="1" applyBorder="1" applyAlignment="1">
      <alignment horizontal="right" vertical="center"/>
    </xf>
    <xf numFmtId="0" fontId="27" fillId="0" borderId="1" xfId="0" applyFont="1" applyBorder="1" applyAlignment="1">
      <alignment vertical="center"/>
    </xf>
    <xf numFmtId="0" fontId="28" fillId="2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 indent="1"/>
    </xf>
    <xf numFmtId="164" fontId="1" fillId="6" borderId="0" xfId="0" applyNumberFormat="1" applyFont="1" applyFill="1" applyAlignment="1">
      <alignment horizontal="right" vertical="center"/>
    </xf>
    <xf numFmtId="167" fontId="29" fillId="6" borderId="0" xfId="0" applyNumberFormat="1" applyFont="1" applyFill="1" applyAlignment="1">
      <alignment horizontal="right" vertical="center"/>
    </xf>
    <xf numFmtId="0" fontId="21" fillId="4" borderId="0" xfId="0" applyFont="1" applyFill="1" applyAlignment="1">
      <alignment horizontal="left" vertical="center" indent="1"/>
    </xf>
    <xf numFmtId="164" fontId="1" fillId="4" borderId="0" xfId="0" applyNumberFormat="1" applyFont="1" applyFill="1" applyAlignment="1">
      <alignment horizontal="right" vertical="center"/>
    </xf>
    <xf numFmtId="167" fontId="29" fillId="4" borderId="0" xfId="0" applyNumberFormat="1" applyFont="1" applyFill="1" applyAlignment="1">
      <alignment horizontal="right" vertical="center"/>
    </xf>
    <xf numFmtId="0" fontId="30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left" vertical="center" indent="1"/>
    </xf>
    <xf numFmtId="0" fontId="30" fillId="6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left" vertical="center" indent="1"/>
    </xf>
    <xf numFmtId="0" fontId="8" fillId="0" borderId="0" xfId="0" applyFont="1" applyAlignment="1">
      <alignment vertical="top" wrapText="1"/>
    </xf>
    <xf numFmtId="0" fontId="20" fillId="2" borderId="0" xfId="0" applyFont="1" applyFill="1" applyAlignment="1">
      <alignment horizontal="left" vertical="center" indent="1"/>
    </xf>
    <xf numFmtId="0" fontId="20" fillId="2" borderId="0" xfId="0" applyFont="1" applyFill="1" applyAlignment="1">
      <alignment horizontal="right" vertical="center"/>
    </xf>
    <xf numFmtId="0" fontId="21" fillId="6" borderId="6" xfId="0" applyFont="1" applyFill="1" applyBorder="1" applyAlignment="1">
      <alignment horizontal="left" vertical="center" indent="1"/>
    </xf>
    <xf numFmtId="164" fontId="32" fillId="6" borderId="6" xfId="0" applyNumberFormat="1" applyFont="1" applyFill="1" applyBorder="1" applyAlignment="1">
      <alignment horizontal="right" vertical="center"/>
    </xf>
    <xf numFmtId="0" fontId="21" fillId="4" borderId="6" xfId="0" applyFont="1" applyFill="1" applyBorder="1" applyAlignment="1">
      <alignment horizontal="left" vertical="center" indent="1"/>
    </xf>
    <xf numFmtId="164" fontId="32" fillId="4" borderId="6" xfId="0" applyNumberFormat="1" applyFont="1" applyFill="1" applyBorder="1" applyAlignment="1">
      <alignment horizontal="right" vertical="center"/>
    </xf>
    <xf numFmtId="0" fontId="1" fillId="6" borderId="6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1" fillId="6" borderId="6" xfId="0" applyFont="1" applyFill="1" applyBorder="1" applyAlignment="1">
      <alignment horizontal="left" vertical="center" indent="1" wrapText="1"/>
    </xf>
    <xf numFmtId="0" fontId="1" fillId="4" borderId="6" xfId="0" applyFont="1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Beneficiarios y usuarios por programa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Beneficiarios y usuarios por programa</c:v>
          </c:tx>
          <c:spPr>
            <a:solidFill>
              <a:srgbClr val="5A369A"/>
            </a:solidFill>
            <a:ln>
              <a:noFill/>
            </a:ln>
          </c:spPr>
          <c:dPt>
            <c:idx val="0"/>
            <c:spPr>
              <a:solidFill>
                <a:srgbClr val="5A369A"/>
              </a:solidFill>
              <a:ln>
                <a:noFill/>
              </a:ln>
            </c:spPr>
          </c:dPt>
          <c:dPt>
            <c:idx val="1"/>
            <c:spPr>
              <a:solidFill>
                <a:srgbClr val="5A369A"/>
              </a:solidFill>
              <a:ln>
                <a:noFill/>
              </a:ln>
            </c:spPr>
          </c:dPt>
          <c:dPt>
            <c:idx val="2"/>
            <c:spPr>
              <a:solidFill>
                <a:srgbClr val="5A369A"/>
              </a:solidFill>
              <a:ln>
                <a:noFill/>
              </a:ln>
            </c:spPr>
          </c:dPt>
          <c:dPt>
            <c:idx val="3"/>
            <c:spPr>
              <a:solidFill>
                <a:srgbClr val="C33F8D"/>
              </a:solidFill>
              <a:ln>
                <a:noFill/>
              </a:ln>
            </c:spPr>
          </c:dPt>
          <c:dPt>
            <c:idx val="4"/>
            <c:spPr>
              <a:solidFill>
                <a:srgbClr val="5A369A"/>
              </a:solidFill>
              <a:ln>
                <a:noFill/>
              </a:ln>
            </c:spPr>
          </c:dPt>
          <c:dPt>
            <c:idx val="5"/>
            <c:spPr>
              <a:solidFill>
                <a:srgbClr val="C33F8D"/>
              </a:solidFill>
              <a:ln>
                <a:noFill/>
              </a:ln>
            </c:spPr>
          </c:dPt>
          <c:dPt>
            <c:idx val="6"/>
            <c:spPr>
              <a:solidFill>
                <a:srgbClr val="5A369A"/>
              </a:solidFill>
              <a:ln>
                <a:noFill/>
              </a:ln>
            </c:spPr>
          </c:dPt>
          <c:dPt>
            <c:idx val="7"/>
            <c:spPr>
              <a:solidFill>
                <a:srgbClr val="5A369A"/>
              </a:solidFill>
              <a:ln>
                <a:noFill/>
              </a:ln>
            </c:spPr>
          </c:dPt>
          <c:dPt>
            <c:idx val="8"/>
            <c:spPr>
              <a:solidFill>
                <a:srgbClr val="C33F8D"/>
              </a:solidFill>
              <a:ln>
                <a:noFill/>
              </a:ln>
            </c:spPr>
          </c:dPt>
          <c:dPt>
            <c:idx val="9"/>
            <c:spPr>
              <a:solidFill>
                <a:srgbClr val="C33F8D"/>
              </a:solidFill>
              <a:ln>
                <a:noFill/>
              </a:ln>
            </c:spPr>
          </c:dPt>
          <c:dPt>
            <c:idx val="10"/>
            <c:spPr>
              <a:solidFill>
                <a:srgbClr val="5A369A"/>
              </a:solidFill>
              <a:ln>
                <a:noFill/>
              </a:ln>
            </c:spPr>
          </c:dPt>
          <c:dPt>
            <c:idx val="11"/>
            <c:spPr>
              <a:solidFill>
                <a:srgbClr val="5A369A"/>
              </a:solidFill>
              <a:ln>
                <a:noFill/>
              </a:ln>
            </c:spPr>
          </c:dPt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Resumen!$B$29:$B$40</c:f>
              <c:strCache>
                <c:ptCount val="12"/>
                <c:pt idx="0">
                  <c:v>Bono de Desarrollo Humano</c:v>
                </c:pt>
                <c:pt idx="1">
                  <c:v>Bono de Desarrollo Humano Variable</c:v>
                </c:pt>
                <c:pt idx="2">
                  <c:v>Pensión Mis Mejores Años</c:v>
                </c:pt>
                <c:pt idx="3">
                  <c:v>Desarrollo Infantil Integral</c:v>
                </c:pt>
                <c:pt idx="4">
                  <c:v>Bono 1.000 Días</c:v>
                </c:pt>
                <c:pt idx="5">
                  <c:v>Personas adultas mayores</c:v>
                </c:pt>
                <c:pt idx="6">
                  <c:v>Pensión Toda Una Vida</c:v>
                </c:pt>
                <c:pt idx="7">
                  <c:v>Bono Joaquín Gallegos Lara</c:v>
                </c:pt>
                <c:pt idx="8">
                  <c:v>Personas con discapacidad</c:v>
                </c:pt>
                <c:pt idx="9">
                  <c:v>Protección Especial</c:v>
                </c:pt>
                <c:pt idx="10">
                  <c:v>Pensión para Adultos Mayores</c:v>
                </c:pt>
                <c:pt idx="11">
                  <c:v>Pensión para Personas con Discapacidad</c:v>
                </c:pt>
              </c:strCache>
            </c:strRef>
          </c:cat>
          <c:val>
            <c:numRef>
              <c:f>Resumen!$I$29:$I$40</c:f>
              <c:numCache>
                <c:formatCode>General</c:formatCode>
                <c:ptCount val="12"/>
                <c:pt idx="0">
                  <c:v>619073</c:v>
                </c:pt>
                <c:pt idx="1">
                  <c:v>367289</c:v>
                </c:pt>
                <c:pt idx="2">
                  <c:v>303845</c:v>
                </c:pt>
                <c:pt idx="3">
                  <c:v>274975</c:v>
                </c:pt>
                <c:pt idx="4">
                  <c:v>164983</c:v>
                </c:pt>
                <c:pt idx="5">
                  <c:v>114697</c:v>
                </c:pt>
                <c:pt idx="6">
                  <c:v>72700</c:v>
                </c:pt>
                <c:pt idx="7">
                  <c:v>50129</c:v>
                </c:pt>
                <c:pt idx="8">
                  <c:v>37039</c:v>
                </c:pt>
                <c:pt idx="9">
                  <c:v>29528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5"/>
        <c:axId val="50010001"/>
        <c:axId val="50010002"/>
      </c:barChart>
      <c:catAx>
        <c:axId val="5001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Monto fiscal 2026 por programa (millones de USD)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Monto fiscal 2026 por programa (millones de USD)</c:v>
          </c:tx>
          <c:spPr>
            <a:solidFill>
              <a:srgbClr val="5A369A"/>
            </a:solidFill>
            <a:ln>
              <a:noFill/>
            </a:ln>
          </c:spPr>
          <c:dPt>
            <c:idx val="0"/>
            <c:spPr>
              <a:solidFill>
                <a:srgbClr val="5A369A"/>
              </a:solidFill>
              <a:ln>
                <a:noFill/>
              </a:ln>
            </c:spPr>
          </c:dPt>
          <c:dPt>
            <c:idx val="1"/>
            <c:spPr>
              <a:solidFill>
                <a:srgbClr val="5A369A"/>
              </a:solidFill>
              <a:ln>
                <a:noFill/>
              </a:ln>
            </c:spPr>
          </c:dPt>
          <c:dPt>
            <c:idx val="2"/>
            <c:spPr>
              <a:solidFill>
                <a:srgbClr val="5A369A"/>
              </a:solidFill>
              <a:ln>
                <a:noFill/>
              </a:ln>
            </c:spPr>
          </c:dPt>
          <c:dPt>
            <c:idx val="3"/>
            <c:spPr>
              <a:solidFill>
                <a:srgbClr val="C33F8D"/>
              </a:solidFill>
              <a:ln>
                <a:noFill/>
              </a:ln>
            </c:spPr>
          </c:dPt>
          <c:dPt>
            <c:idx val="4"/>
            <c:spPr>
              <a:solidFill>
                <a:srgbClr val="5A369A"/>
              </a:solidFill>
              <a:ln>
                <a:noFill/>
              </a:ln>
            </c:spPr>
          </c:dPt>
          <c:dPt>
            <c:idx val="5"/>
            <c:spPr>
              <a:solidFill>
                <a:srgbClr val="C33F8D"/>
              </a:solidFill>
              <a:ln>
                <a:noFill/>
              </a:ln>
            </c:spPr>
          </c:dPt>
          <c:dPt>
            <c:idx val="6"/>
            <c:spPr>
              <a:solidFill>
                <a:srgbClr val="5A369A"/>
              </a:solidFill>
              <a:ln>
                <a:noFill/>
              </a:ln>
            </c:spPr>
          </c:dPt>
          <c:dPt>
            <c:idx val="7"/>
            <c:spPr>
              <a:solidFill>
                <a:srgbClr val="5A369A"/>
              </a:solidFill>
              <a:ln>
                <a:noFill/>
              </a:ln>
            </c:spPr>
          </c:dPt>
          <c:dPt>
            <c:idx val="8"/>
            <c:spPr>
              <a:solidFill>
                <a:srgbClr val="C33F8D"/>
              </a:solidFill>
              <a:ln>
                <a:noFill/>
              </a:ln>
            </c:spPr>
          </c:dPt>
          <c:dPt>
            <c:idx val="9"/>
            <c:spPr>
              <a:solidFill>
                <a:srgbClr val="C33F8D"/>
              </a:solidFill>
              <a:ln>
                <a:noFill/>
              </a:ln>
            </c:spPr>
          </c:dPt>
          <c:dPt>
            <c:idx val="10"/>
            <c:spPr>
              <a:solidFill>
                <a:srgbClr val="5A369A"/>
              </a:solidFill>
              <a:ln>
                <a:noFill/>
              </a:ln>
            </c:spPr>
          </c:dPt>
          <c:dPt>
            <c:idx val="11"/>
            <c:spPr>
              <a:solidFill>
                <a:srgbClr val="5A369A"/>
              </a:solidFill>
              <a:ln>
                <a:noFill/>
              </a:ln>
            </c:spPr>
          </c:dPt>
          <c:dLbls>
            <c:numFmt formatCode="#,##0.0,,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Resumen!$B$29:$B$40</c:f>
              <c:strCache>
                <c:ptCount val="12"/>
                <c:pt idx="0">
                  <c:v>Bono de Desarrollo Humano</c:v>
                </c:pt>
                <c:pt idx="1">
                  <c:v>Bono de Desarrollo Humano Variable</c:v>
                </c:pt>
                <c:pt idx="2">
                  <c:v>Pensión Mis Mejores Años</c:v>
                </c:pt>
                <c:pt idx="3">
                  <c:v>Desarrollo Infantil Integral</c:v>
                </c:pt>
                <c:pt idx="4">
                  <c:v>Bono 1.000 Días</c:v>
                </c:pt>
                <c:pt idx="5">
                  <c:v>Personas adultas mayores</c:v>
                </c:pt>
                <c:pt idx="6">
                  <c:v>Pensión Toda Una Vida</c:v>
                </c:pt>
                <c:pt idx="7">
                  <c:v>Bono Joaquín Gallegos Lara</c:v>
                </c:pt>
                <c:pt idx="8">
                  <c:v>Personas con discapacidad</c:v>
                </c:pt>
                <c:pt idx="9">
                  <c:v>Protección Especial</c:v>
                </c:pt>
                <c:pt idx="10">
                  <c:v>Pensión para Adultos Mayores</c:v>
                </c:pt>
                <c:pt idx="11">
                  <c:v>Pensión para Personas con Discapacidad</c:v>
                </c:pt>
              </c:strCache>
            </c:strRef>
          </c:cat>
          <c:val>
            <c:numRef>
              <c:f>Resumen!$L$29:$L$40</c:f>
              <c:numCache>
                <c:formatCode>General</c:formatCode>
                <c:ptCount val="12"/>
                <c:pt idx="0">
                  <c:v>270240632.487</c:v>
                </c:pt>
                <c:pt idx="1">
                  <c:v>226002165.705</c:v>
                </c:pt>
                <c:pt idx="2">
                  <c:v>259215772.019</c:v>
                </c:pt>
                <c:pt idx="3">
                  <c:v>106079776.5513</c:v>
                </c:pt>
                <c:pt idx="4">
                  <c:v>84688778.48099999</c:v>
                </c:pt>
                <c:pt idx="5">
                  <c:v>34610032.5828</c:v>
                </c:pt>
                <c:pt idx="6">
                  <c:v>64076580.173</c:v>
                </c:pt>
                <c:pt idx="7">
                  <c:v>107025464.122</c:v>
                </c:pt>
                <c:pt idx="8">
                  <c:v>12054355.5637</c:v>
                </c:pt>
                <c:pt idx="9">
                  <c:v>16008638.7495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.0,,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Beneficiarios por programa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Beneficiarios por programa</c:v>
          </c:tx>
          <c:spPr>
            <a:solidFill>
              <a:srgbClr val="603EA0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'Bonos y pensiones'!$C$16:$C$23</c:f>
              <c:strCache>
                <c:ptCount val="8"/>
                <c:pt idx="0">
                  <c:v>Bono de Desarrollo Humano</c:v>
                </c:pt>
                <c:pt idx="1">
                  <c:v>Bono de Desarrollo Humano Variable</c:v>
                </c:pt>
                <c:pt idx="2">
                  <c:v>Pensión Mis Mejores Años</c:v>
                </c:pt>
                <c:pt idx="3">
                  <c:v>Bono 1.000 Días</c:v>
                </c:pt>
                <c:pt idx="4">
                  <c:v>Pensión Toda Una Vida</c:v>
                </c:pt>
                <c:pt idx="5">
                  <c:v>Bono Joaquín Gallegos Lara</c:v>
                </c:pt>
                <c:pt idx="6">
                  <c:v>Pensión para Adultos Mayores</c:v>
                </c:pt>
                <c:pt idx="7">
                  <c:v>Pensión para Personas con Discapacidad</c:v>
                </c:pt>
              </c:strCache>
            </c:strRef>
          </c:cat>
          <c:val>
            <c:numRef>
              <c:f>'Bonos y pensiones'!$D$16:$D$23</c:f>
              <c:numCache>
                <c:formatCode>General</c:formatCode>
                <c:ptCount val="8"/>
                <c:pt idx="0">
                  <c:v>619073</c:v>
                </c:pt>
                <c:pt idx="1">
                  <c:v>367289</c:v>
                </c:pt>
                <c:pt idx="2">
                  <c:v>303845</c:v>
                </c:pt>
                <c:pt idx="3">
                  <c:v>164983</c:v>
                </c:pt>
                <c:pt idx="4">
                  <c:v>72700</c:v>
                </c:pt>
                <c:pt idx="5">
                  <c:v>50129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55"/>
        <c:axId val="50030001"/>
        <c:axId val="50030002"/>
      </c:barChart>
      <c:catAx>
        <c:axId val="5003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Beneficiarios en las provincias principales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Beneficiarios en las provincias principales</c:v>
          </c:tx>
          <c:spPr>
            <a:solidFill>
              <a:srgbClr val="603EA0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'Bonos y pensiones'!$C$48:$C$57</c:f>
              <c:strCache>
                <c:ptCount val="10"/>
                <c:pt idx="0">
                  <c:v>Guayas</c:v>
                </c:pt>
                <c:pt idx="1">
                  <c:v>Manabí</c:v>
                </c:pt>
                <c:pt idx="2">
                  <c:v>Los Ríos</c:v>
                </c:pt>
                <c:pt idx="3">
                  <c:v>Pichincha</c:v>
                </c:pt>
                <c:pt idx="4">
                  <c:v>Esmeraldas</c:v>
                </c:pt>
                <c:pt idx="5">
                  <c:v>Chimborazo</c:v>
                </c:pt>
                <c:pt idx="6">
                  <c:v>Cotopaxi</c:v>
                </c:pt>
                <c:pt idx="7">
                  <c:v>Loja</c:v>
                </c:pt>
                <c:pt idx="8">
                  <c:v>Imbabura</c:v>
                </c:pt>
                <c:pt idx="9">
                  <c:v>Azuay</c:v>
                </c:pt>
              </c:strCache>
            </c:strRef>
          </c:cat>
          <c:val>
            <c:numRef>
              <c:f>'Bonos y pensiones'!$D$48:$D$57</c:f>
              <c:numCache>
                <c:formatCode>General</c:formatCode>
                <c:ptCount val="10"/>
                <c:pt idx="0">
                  <c:v>312265</c:v>
                </c:pt>
                <c:pt idx="1">
                  <c:v>214817</c:v>
                </c:pt>
                <c:pt idx="2">
                  <c:v>126547</c:v>
                </c:pt>
                <c:pt idx="3">
                  <c:v>107356</c:v>
                </c:pt>
                <c:pt idx="4">
                  <c:v>104516</c:v>
                </c:pt>
                <c:pt idx="5">
                  <c:v>66600</c:v>
                </c:pt>
                <c:pt idx="6">
                  <c:v>66269</c:v>
                </c:pt>
                <c:pt idx="7">
                  <c:v>59564</c:v>
                </c:pt>
                <c:pt idx="8">
                  <c:v>57099</c:v>
                </c:pt>
                <c:pt idx="9">
                  <c:v>53308</c:v>
                </c:pt>
              </c:numCache>
            </c:numRef>
          </c:val>
        </c:ser>
        <c:gapWidth val="55"/>
        <c:axId val="50040001"/>
        <c:axId val="50040002"/>
      </c:barChart>
      <c:catAx>
        <c:axId val="5004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Usuarios por servicio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Usuarios por servicio</c:v>
          </c:tx>
          <c:spPr>
            <a:solidFill>
              <a:srgbClr val="C33F8D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'Protección integral'!$C$16:$C$19</c:f>
              <c:strCache>
                <c:ptCount val="4"/>
                <c:pt idx="0">
                  <c:v>Desarrollo Infantil Integral</c:v>
                </c:pt>
                <c:pt idx="1">
                  <c:v>Personas adultas mayores</c:v>
                </c:pt>
                <c:pt idx="2">
                  <c:v>Personas con discapacidad</c:v>
                </c:pt>
                <c:pt idx="3">
                  <c:v>Protección Especial</c:v>
                </c:pt>
              </c:strCache>
            </c:strRef>
          </c:cat>
          <c:val>
            <c:numRef>
              <c:f>'Protección integral'!$D$16:$D$19</c:f>
              <c:numCache>
                <c:formatCode>General</c:formatCode>
                <c:ptCount val="4"/>
                <c:pt idx="0">
                  <c:v>274975</c:v>
                </c:pt>
                <c:pt idx="1">
                  <c:v>114697</c:v>
                </c:pt>
                <c:pt idx="2">
                  <c:v>37039</c:v>
                </c:pt>
                <c:pt idx="3">
                  <c:v>29528</c:v>
                </c:pt>
              </c:numCache>
            </c:numRef>
          </c:val>
        </c:ser>
        <c:gapWidth val="55"/>
        <c:axId val="50050001"/>
        <c:axId val="50050002"/>
      </c:barChart>
      <c:catAx>
        <c:axId val="5005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Usuarios en las provincias principales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Usuarios en las provincias principales</c:v>
          </c:tx>
          <c:spPr>
            <a:solidFill>
              <a:srgbClr val="C33F8D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'Protección integral'!$C$43:$C$52</c:f>
              <c:strCache>
                <c:ptCount val="10"/>
                <c:pt idx="0">
                  <c:v>Guayas</c:v>
                </c:pt>
                <c:pt idx="1">
                  <c:v>Manabí</c:v>
                </c:pt>
                <c:pt idx="2">
                  <c:v>Pichincha</c:v>
                </c:pt>
                <c:pt idx="3">
                  <c:v>Los Ríos</c:v>
                </c:pt>
                <c:pt idx="4">
                  <c:v>Loja</c:v>
                </c:pt>
                <c:pt idx="5">
                  <c:v>Esmeraldas</c:v>
                </c:pt>
                <c:pt idx="6">
                  <c:v>Chimborazo</c:v>
                </c:pt>
                <c:pt idx="7">
                  <c:v>El Oro</c:v>
                </c:pt>
                <c:pt idx="8">
                  <c:v>Azuay</c:v>
                </c:pt>
                <c:pt idx="9">
                  <c:v>Imbabura</c:v>
                </c:pt>
              </c:strCache>
            </c:strRef>
          </c:cat>
          <c:val>
            <c:numRef>
              <c:f>'Protección integral'!$D$43:$D$52</c:f>
              <c:numCache>
                <c:formatCode>General</c:formatCode>
                <c:ptCount val="10"/>
                <c:pt idx="0">
                  <c:v>87943</c:v>
                </c:pt>
                <c:pt idx="1">
                  <c:v>57131</c:v>
                </c:pt>
                <c:pt idx="2">
                  <c:v>33362</c:v>
                </c:pt>
                <c:pt idx="3">
                  <c:v>25135</c:v>
                </c:pt>
                <c:pt idx="4">
                  <c:v>24736</c:v>
                </c:pt>
                <c:pt idx="5">
                  <c:v>22896</c:v>
                </c:pt>
                <c:pt idx="6">
                  <c:v>21651</c:v>
                </c:pt>
                <c:pt idx="7">
                  <c:v>21042</c:v>
                </c:pt>
                <c:pt idx="8">
                  <c:v>17543</c:v>
                </c:pt>
                <c:pt idx="9">
                  <c:v>16852</c:v>
                </c:pt>
              </c:numCache>
            </c:numRef>
          </c:val>
        </c:ser>
        <c:gapWidth val="55"/>
        <c:axId val="50060001"/>
        <c:axId val="50060002"/>
      </c:barChart>
      <c:catAx>
        <c:axId val="5006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38100</xdr:rowOff>
    </xdr:from>
    <xdr:to>
      <xdr:col>3</xdr:col>
      <xdr:colOff>854765</xdr:colOff>
      <xdr:row>1</xdr:row>
      <xdr:rowOff>495300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209550"/>
          <a:ext cx="2626415" cy="457200"/>
        </a:xfrm>
        <a:prstGeom prst="rect">
          <a:avLst/>
        </a:prstGeom>
      </xdr:spPr>
    </xdr:pic>
    <xdr:clientData/>
  </xdr:twoCellAnchor>
  <xdr:twoCellAnchor editAs="absolute">
    <xdr:from>
      <xdr:col>8</xdr:col>
      <xdr:colOff>152400</xdr:colOff>
      <xdr:row>0</xdr:row>
      <xdr:rowOff>38100</xdr:rowOff>
    </xdr:from>
    <xdr:to>
      <xdr:col>13</xdr:col>
      <xdr:colOff>28575</xdr:colOff>
      <xdr:row>13</xdr:row>
      <xdr:rowOff>6350</xdr:rowOff>
    </xdr:to>
    <xdr:pic>
      <xdr:nvPicPr>
        <xdr:cNvPr id="3" name="Picture 2" descr="Mapa del Ecuador con la cobertura reportada por provincia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2725" y="38100"/>
          <a:ext cx="4305300" cy="358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333375</xdr:colOff>
      <xdr:row>1</xdr:row>
      <xdr:rowOff>19050</xdr:rowOff>
    </xdr:from>
    <xdr:to>
      <xdr:col>12</xdr:col>
      <xdr:colOff>750404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1</xdr:col>
      <xdr:colOff>19050</xdr:colOff>
      <xdr:row>42</xdr:row>
      <xdr:rowOff>57150</xdr:rowOff>
    </xdr:from>
    <xdr:to>
      <xdr:col>6</xdr:col>
      <xdr:colOff>809625</xdr:colOff>
      <xdr:row>64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7</xdr:col>
      <xdr:colOff>57150</xdr:colOff>
      <xdr:row>42</xdr:row>
      <xdr:rowOff>57150</xdr:rowOff>
    </xdr:from>
    <xdr:to>
      <xdr:col>12</xdr:col>
      <xdr:colOff>847725</xdr:colOff>
      <xdr:row>64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114300</xdr:colOff>
      <xdr:row>1</xdr:row>
      <xdr:rowOff>19050</xdr:rowOff>
    </xdr:from>
    <xdr:to>
      <xdr:col>8</xdr:col>
      <xdr:colOff>1083779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27</xdr:row>
      <xdr:rowOff>76200</xdr:rowOff>
    </xdr:from>
    <xdr:to>
      <xdr:col>6</xdr:col>
      <xdr:colOff>581025</xdr:colOff>
      <xdr:row>44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0</xdr:colOff>
      <xdr:row>58</xdr:row>
      <xdr:rowOff>76200</xdr:rowOff>
    </xdr:from>
    <xdr:to>
      <xdr:col>6</xdr:col>
      <xdr:colOff>581025</xdr:colOff>
      <xdr:row>77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114300</xdr:colOff>
      <xdr:row>1</xdr:row>
      <xdr:rowOff>19050</xdr:rowOff>
    </xdr:from>
    <xdr:to>
      <xdr:col>9</xdr:col>
      <xdr:colOff>1083779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5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23</xdr:row>
      <xdr:rowOff>76200</xdr:rowOff>
    </xdr:from>
    <xdr:to>
      <xdr:col>6</xdr:col>
      <xdr:colOff>819150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0</xdr:colOff>
      <xdr:row>53</xdr:row>
      <xdr:rowOff>76200</xdr:rowOff>
    </xdr:from>
    <xdr:to>
      <xdr:col>6</xdr:col>
      <xdr:colOff>819150</xdr:colOff>
      <xdr:row>72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419100</xdr:colOff>
      <xdr:row>1</xdr:row>
      <xdr:rowOff>19050</xdr:rowOff>
    </xdr:from>
    <xdr:to>
      <xdr:col>14</xdr:col>
      <xdr:colOff>778979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87150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8</xdr:row>
      <xdr:rowOff>57150</xdr:rowOff>
    </xdr:from>
    <xdr:to>
      <xdr:col>6</xdr:col>
      <xdr:colOff>381000</xdr:colOff>
      <xdr:row>29</xdr:row>
      <xdr:rowOff>48491</xdr:rowOff>
    </xdr:to>
    <xdr:pic>
      <xdr:nvPicPr>
        <xdr:cNvPr id="3" name="Picture 2" descr="Mapa coroplético de la cobertura reportada por provincia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943100"/>
          <a:ext cx="5715000" cy="48490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438150</xdr:colOff>
      <xdr:row>1</xdr:row>
      <xdr:rowOff>19050</xdr:rowOff>
    </xdr:from>
    <xdr:to>
      <xdr:col>12</xdr:col>
      <xdr:colOff>1079327</xdr:colOff>
      <xdr:row>1</xdr:row>
      <xdr:rowOff>342900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8400" y="114300"/>
          <a:ext cx="1860377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4124325</xdr:colOff>
      <xdr:row>1</xdr:row>
      <xdr:rowOff>19050</xdr:rowOff>
    </xdr:from>
    <xdr:to>
      <xdr:col>2</xdr:col>
      <xdr:colOff>6313004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171450"/>
          <a:ext cx="2188679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TDH Institucional">
  <a:themeElements>
    <a:clrScheme name="MTDH">
      <a:dk1>
        <a:sysClr val="windowText" lastClr="000000"/>
      </a:dk1>
      <a:lt1>
        <a:sysClr val="window" lastClr="FFFFFF"/>
      </a:lt1>
      <a:dk2>
        <a:srgbClr val="2B164F"/>
      </a:dk2>
      <a:lt2>
        <a:srgbClr val="EBE5F3"/>
      </a:lt2>
      <a:accent1>
        <a:srgbClr val="512F8D"/>
      </a:accent1>
      <a:accent2>
        <a:srgbClr val="C33F8D"/>
      </a:accent2>
      <a:accent3>
        <a:srgbClr val="F8C018"/>
      </a:accent3>
      <a:accent4>
        <a:srgbClr val="7657B9"/>
      </a:accent4>
      <a:accent5>
        <a:srgbClr val="A995E0"/>
      </a:accent5>
      <a:accent6>
        <a:srgbClr val="3D216D"/>
      </a:accent6>
      <a:hlink>
        <a:srgbClr val="512F8D"/>
      </a:hlink>
      <a:folHlink>
        <a:srgbClr val="7657B9"/>
      </a:folHlink>
    </a:clrScheme>
    <a:fontScheme name="Office">
      <a:majorFont>
        <a:latin typeface="Century Gothic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12F8D"/>
    <pageSetUpPr fitToPage="1"/>
  </sheetPr>
  <dimension ref="A1:N39"/>
  <sheetViews>
    <sheetView showGridLines="0" tabSelected="1" zoomScale="90" zoomScaleNormal="90" workbookViewId="0"/>
  </sheetViews>
  <sheetFormatPr defaultRowHeight="15"/>
  <cols>
    <col min="1" max="1" width="3.140625" customWidth="1"/>
    <col min="2" max="13" width="13.28515625" customWidth="1"/>
    <col min="14" max="14" width="3.140625" customWidth="1"/>
  </cols>
  <sheetData>
    <row r="1" spans="1:14" ht="1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0" customHeight="1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6" customHeight="1">
      <c r="A5" s="1"/>
      <c r="B5" s="3" t="s">
        <v>1</v>
      </c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</row>
    <row r="6" spans="1:14" ht="36" customHeight="1">
      <c r="A6" s="1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</row>
    <row r="7" spans="1:14" ht="28" customHeight="1">
      <c r="A7" s="1"/>
      <c r="B7" s="4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0" customHeight="1">
      <c r="A8" s="1"/>
      <c r="B8" s="5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0" customHeight="1">
      <c r="A9" s="1"/>
      <c r="B9" s="5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6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customHeight="1">
      <c r="A11" s="1"/>
      <c r="B11" s="6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6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6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5" spans="1:14" ht="27" customHeight="1">
      <c r="B15" s="8" t="s">
        <v>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10" t="s">
        <v>2</v>
      </c>
    </row>
    <row r="17" spans="2:13" ht="24" customHeight="1">
      <c r="B17" s="11" t="s">
        <v>7</v>
      </c>
      <c r="C17" s="11"/>
      <c r="D17" s="11"/>
      <c r="E17" s="12" t="s">
        <v>9</v>
      </c>
      <c r="F17" s="12"/>
      <c r="G17" s="12"/>
      <c r="H17" s="13" t="s">
        <v>11</v>
      </c>
      <c r="I17" s="13"/>
      <c r="J17" s="13"/>
      <c r="K17" s="14" t="s">
        <v>13</v>
      </c>
      <c r="L17" s="14"/>
      <c r="M17" s="14"/>
    </row>
    <row r="18" spans="2:13" ht="21" customHeight="1">
      <c r="B18" s="15">
        <v>1578019</v>
      </c>
      <c r="C18" s="16"/>
      <c r="D18" s="16"/>
      <c r="E18" s="15">
        <v>456239</v>
      </c>
      <c r="F18" s="16"/>
      <c r="G18" s="16"/>
      <c r="H18" s="15">
        <v>11158</v>
      </c>
      <c r="I18" s="16"/>
      <c r="J18" s="16"/>
      <c r="K18" s="17">
        <v>1180002196.4343</v>
      </c>
      <c r="L18" s="16"/>
      <c r="M18" s="16"/>
    </row>
    <row r="19" spans="2:13" ht="21" customHeight="1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2:13" ht="30" customHeight="1">
      <c r="B20" s="18" t="s">
        <v>8</v>
      </c>
      <c r="C20" s="18"/>
      <c r="D20" s="18"/>
      <c r="E20" s="18" t="s">
        <v>10</v>
      </c>
      <c r="F20" s="18"/>
      <c r="G20" s="18"/>
      <c r="H20" s="18" t="s">
        <v>12</v>
      </c>
      <c r="I20" s="18"/>
      <c r="J20" s="18"/>
      <c r="K20" s="18" t="s">
        <v>14</v>
      </c>
      <c r="L20" s="18"/>
      <c r="M20" s="18"/>
    </row>
    <row r="22" spans="2:13" ht="27" customHeight="1">
      <c r="B22" s="8" t="s">
        <v>15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10" t="s">
        <v>16</v>
      </c>
    </row>
    <row r="23" spans="2:13" ht="24" customHeight="1">
      <c r="B23" s="19" t="s">
        <v>17</v>
      </c>
      <c r="C23" s="20"/>
      <c r="D23" s="20"/>
      <c r="E23" s="21" t="s">
        <v>18</v>
      </c>
      <c r="F23" s="21"/>
      <c r="G23" s="21"/>
      <c r="H23" s="21"/>
      <c r="I23" s="21"/>
      <c r="J23" s="21"/>
      <c r="K23" s="21"/>
      <c r="L23" s="21"/>
      <c r="M23" s="21"/>
    </row>
    <row r="24" spans="2:13" ht="24" customHeight="1">
      <c r="B24" s="19" t="s">
        <v>19</v>
      </c>
      <c r="C24" s="20"/>
      <c r="D24" s="20"/>
      <c r="E24" s="21" t="s">
        <v>20</v>
      </c>
      <c r="F24" s="21"/>
      <c r="G24" s="21"/>
      <c r="H24" s="21"/>
      <c r="I24" s="21"/>
      <c r="J24" s="21"/>
      <c r="K24" s="21"/>
      <c r="L24" s="21"/>
      <c r="M24" s="21"/>
    </row>
    <row r="25" spans="2:13" ht="24" customHeight="1">
      <c r="B25" s="19" t="s">
        <v>21</v>
      </c>
      <c r="C25" s="20"/>
      <c r="D25" s="20"/>
      <c r="E25" s="21" t="s">
        <v>22</v>
      </c>
      <c r="F25" s="21"/>
      <c r="G25" s="21"/>
      <c r="H25" s="21"/>
      <c r="I25" s="21"/>
      <c r="J25" s="21"/>
      <c r="K25" s="21"/>
      <c r="L25" s="21"/>
      <c r="M25" s="21"/>
    </row>
    <row r="26" spans="2:13" ht="24" customHeight="1">
      <c r="B26" s="19" t="s">
        <v>23</v>
      </c>
      <c r="C26" s="20"/>
      <c r="D26" s="20"/>
      <c r="E26" s="21" t="s">
        <v>24</v>
      </c>
      <c r="F26" s="21"/>
      <c r="G26" s="21"/>
      <c r="H26" s="21"/>
      <c r="I26" s="21"/>
      <c r="J26" s="21"/>
      <c r="K26" s="21"/>
      <c r="L26" s="21"/>
      <c r="M26" s="21"/>
    </row>
    <row r="27" spans="2:13" ht="24" customHeight="1">
      <c r="B27" s="19" t="s">
        <v>25</v>
      </c>
      <c r="C27" s="20"/>
      <c r="D27" s="20"/>
      <c r="E27" s="21" t="s">
        <v>26</v>
      </c>
      <c r="F27" s="21"/>
      <c r="G27" s="21"/>
      <c r="H27" s="21"/>
      <c r="I27" s="21"/>
      <c r="J27" s="21"/>
      <c r="K27" s="21"/>
      <c r="L27" s="21"/>
      <c r="M27" s="21"/>
    </row>
    <row r="28" spans="2:13" ht="24" customHeight="1">
      <c r="B28" s="19" t="s">
        <v>27</v>
      </c>
      <c r="C28" s="20"/>
      <c r="D28" s="20"/>
      <c r="E28" s="21" t="s">
        <v>28</v>
      </c>
      <c r="F28" s="21"/>
      <c r="G28" s="21"/>
      <c r="H28" s="21"/>
      <c r="I28" s="21"/>
      <c r="J28" s="21"/>
      <c r="K28" s="21"/>
      <c r="L28" s="21"/>
      <c r="M28" s="21"/>
    </row>
    <row r="29" spans="2:13" ht="24" customHeight="1">
      <c r="B29" s="19" t="s">
        <v>29</v>
      </c>
      <c r="C29" s="20"/>
      <c r="D29" s="20"/>
      <c r="E29" s="21" t="s">
        <v>30</v>
      </c>
      <c r="F29" s="21"/>
      <c r="G29" s="21"/>
      <c r="H29" s="21"/>
      <c r="I29" s="21"/>
      <c r="J29" s="21"/>
      <c r="K29" s="21"/>
      <c r="L29" s="21"/>
      <c r="M29" s="21"/>
    </row>
    <row r="31" spans="2:13" ht="27" customHeight="1">
      <c r="B31" s="8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2:13" ht="21" customHeight="1">
      <c r="B32" s="22" t="s">
        <v>32</v>
      </c>
      <c r="C32" s="22"/>
      <c r="D32" s="22"/>
      <c r="E32" s="23" t="s">
        <v>33</v>
      </c>
      <c r="F32" s="23"/>
      <c r="G32" s="23"/>
      <c r="H32" s="23"/>
      <c r="I32" s="23"/>
      <c r="J32" s="23"/>
      <c r="K32" s="23"/>
      <c r="L32" s="23"/>
      <c r="M32" s="23"/>
    </row>
    <row r="33" spans="2:13" ht="21" customHeight="1">
      <c r="B33" s="22" t="s">
        <v>34</v>
      </c>
      <c r="C33" s="22"/>
      <c r="D33" s="22"/>
      <c r="E33" s="23" t="s">
        <v>35</v>
      </c>
      <c r="F33" s="23"/>
      <c r="G33" s="23"/>
      <c r="H33" s="23"/>
      <c r="I33" s="23"/>
      <c r="J33" s="23"/>
      <c r="K33" s="23"/>
      <c r="L33" s="23"/>
      <c r="M33" s="23"/>
    </row>
    <row r="34" spans="2:13" ht="21" customHeight="1">
      <c r="B34" s="22" t="s">
        <v>36</v>
      </c>
      <c r="C34" s="22"/>
      <c r="D34" s="22"/>
      <c r="E34" s="23" t="s">
        <v>37</v>
      </c>
      <c r="F34" s="23"/>
      <c r="G34" s="23"/>
      <c r="H34" s="23"/>
      <c r="I34" s="23"/>
      <c r="J34" s="23"/>
      <c r="K34" s="23"/>
      <c r="L34" s="23"/>
      <c r="M34" s="23"/>
    </row>
    <row r="35" spans="2:13" ht="21" customHeight="1">
      <c r="B35" s="22" t="s">
        <v>38</v>
      </c>
      <c r="C35" s="22"/>
      <c r="D35" s="22"/>
      <c r="E35" s="23" t="s">
        <v>39</v>
      </c>
      <c r="F35" s="23"/>
      <c r="G35" s="23"/>
      <c r="H35" s="23"/>
      <c r="I35" s="23"/>
      <c r="J35" s="23"/>
      <c r="K35" s="23"/>
      <c r="L35" s="23"/>
      <c r="M35" s="23"/>
    </row>
    <row r="36" spans="2:13" ht="21" customHeight="1">
      <c r="B36" s="22" t="s">
        <v>40</v>
      </c>
      <c r="C36" s="22"/>
      <c r="D36" s="22"/>
      <c r="E36" s="23" t="s">
        <v>41</v>
      </c>
      <c r="F36" s="23"/>
      <c r="G36" s="23"/>
      <c r="H36" s="23"/>
      <c r="I36" s="23"/>
      <c r="J36" s="23"/>
      <c r="K36" s="23"/>
      <c r="L36" s="23"/>
      <c r="M36" s="23"/>
    </row>
    <row r="37" spans="2:13" ht="21" customHeight="1">
      <c r="B37" s="22" t="s">
        <v>42</v>
      </c>
      <c r="C37" s="22"/>
      <c r="D37" s="22"/>
      <c r="E37" s="23" t="s">
        <v>43</v>
      </c>
      <c r="F37" s="23"/>
      <c r="G37" s="23"/>
      <c r="H37" s="23"/>
      <c r="I37" s="23"/>
      <c r="J37" s="23"/>
      <c r="K37" s="23"/>
      <c r="L37" s="23"/>
      <c r="M37" s="23"/>
    </row>
    <row r="39" spans="2:13" ht="32" customHeight="1">
      <c r="B39" s="24" t="s">
        <v>44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</sheetData>
  <mergeCells count="40">
    <mergeCell ref="B5:H6"/>
    <mergeCell ref="B17:D17"/>
    <mergeCell ref="B18:D19"/>
    <mergeCell ref="B20:D20"/>
    <mergeCell ref="E17:G17"/>
    <mergeCell ref="E18:G19"/>
    <mergeCell ref="E20:G20"/>
    <mergeCell ref="H17:J17"/>
    <mergeCell ref="H18:J19"/>
    <mergeCell ref="H20:J20"/>
    <mergeCell ref="K17:M17"/>
    <mergeCell ref="K18:M19"/>
    <mergeCell ref="K20:M20"/>
    <mergeCell ref="B23:D23"/>
    <mergeCell ref="E23:M23"/>
    <mergeCell ref="B24:D24"/>
    <mergeCell ref="E24:M24"/>
    <mergeCell ref="B25:D25"/>
    <mergeCell ref="E25:M25"/>
    <mergeCell ref="B26:D26"/>
    <mergeCell ref="E26:M26"/>
    <mergeCell ref="B27:D27"/>
    <mergeCell ref="E27:M27"/>
    <mergeCell ref="B28:D28"/>
    <mergeCell ref="E28:M28"/>
    <mergeCell ref="B29:D29"/>
    <mergeCell ref="E29:M29"/>
    <mergeCell ref="B32:D32"/>
    <mergeCell ref="E32:M32"/>
    <mergeCell ref="B33:D33"/>
    <mergeCell ref="E33:M33"/>
    <mergeCell ref="B34:D34"/>
    <mergeCell ref="E34:M34"/>
    <mergeCell ref="B35:D35"/>
    <mergeCell ref="E35:M35"/>
    <mergeCell ref="B36:D36"/>
    <mergeCell ref="E36:M36"/>
    <mergeCell ref="B37:D37"/>
    <mergeCell ref="E37:M37"/>
    <mergeCell ref="B39:M39"/>
  </mergeCells>
  <hyperlinks>
    <hyperlink ref="B23" location="'Portada'!A1" tooltip="Ir a la hoja Portada" display="Portada"/>
    <hyperlink ref="B24" location="'Resumen'!A1" tooltip="Ir a la hoja Resumen" display="Resumen"/>
    <hyperlink ref="B25" location="'Bonos y pensiones'!A1" tooltip="Ir a la hoja Bonos y pensiones" display="Bonos y pensiones"/>
    <hyperlink ref="B26" location="'Protección integral'!A1" tooltip="Ir a la hoja Protección integral" display="Protección integral"/>
    <hyperlink ref="B27" location="'Territorio'!A1" tooltip="Ir a la hoja Territorio" display="Territorio"/>
    <hyperlink ref="B28" location="'Detalle'!A1" tooltip="Ir a la hoja Detalle" display="Detalle"/>
    <hyperlink ref="B29" location="'Notas'!A1" tooltip="Ir a la hoja Notas" display="Notas"/>
  </hyperlinks>
  <printOptions horizontalCentered="1"/>
  <pageMargins left="0.35" right="0.35" top="0.6" bottom="0.55" header="0.3" footer="0.3"/>
  <pageSetup paperSize="9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Estadística institucional&amp;C&amp;"Calibri,Regular"&amp;8&amp;K5A5765Página &amp;P de &amp;N&amp;R&amp;"Calibri,Regular"&amp;8&amp;K5A5765Selección a08650cd76fc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7B9"/>
    <pageSetUpPr fitToPage="1"/>
  </sheetPr>
  <dimension ref="A1:N41"/>
  <sheetViews>
    <sheetView showGridLines="0" zoomScale="90" zoomScaleNormal="90" workbookViewId="0"/>
  </sheetViews>
  <sheetFormatPr defaultRowHeight="15" x14ac:dyDescent="0.25"/>
  <cols>
    <col min="1" max="1" width="3.140625" customWidth="1"/>
    <col min="2" max="13" width="13.28515625" customWidth="1"/>
    <col min="14" max="14" width="3.140625" customWidth="1"/>
  </cols>
  <sheetData>
    <row r="1" spans="1:14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0" customHeight="1" x14ac:dyDescent="0.25">
      <c r="A2" s="1"/>
      <c r="B2" s="25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2" customHeight="1" x14ac:dyDescent="0.25">
      <c r="A3" s="1"/>
      <c r="B3" s="26" t="s">
        <v>46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4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7" spans="1:14" ht="27" customHeight="1" x14ac:dyDescent="0.25">
      <c r="B7" s="8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9" spans="1:14" ht="24" customHeight="1" x14ac:dyDescent="0.25">
      <c r="B9" s="11" t="s">
        <v>7</v>
      </c>
      <c r="C9" s="11"/>
      <c r="D9" s="11"/>
      <c r="E9" s="12" t="s">
        <v>9</v>
      </c>
      <c r="F9" s="12"/>
      <c r="G9" s="12"/>
      <c r="H9" s="13" t="s">
        <v>11</v>
      </c>
      <c r="I9" s="13"/>
      <c r="J9" s="13"/>
      <c r="K9" s="14" t="s">
        <v>13</v>
      </c>
      <c r="L9" s="14"/>
      <c r="M9" s="14"/>
    </row>
    <row r="10" spans="1:14" ht="21" customHeight="1" x14ac:dyDescent="0.25">
      <c r="B10" s="15">
        <v>1578019</v>
      </c>
      <c r="C10" s="16"/>
      <c r="D10" s="16"/>
      <c r="E10" s="15">
        <v>456239</v>
      </c>
      <c r="F10" s="16"/>
      <c r="G10" s="16"/>
      <c r="H10" s="15">
        <v>11158</v>
      </c>
      <c r="I10" s="16"/>
      <c r="J10" s="16"/>
      <c r="K10" s="17">
        <v>1180002196.4343</v>
      </c>
      <c r="L10" s="16"/>
      <c r="M10" s="16"/>
    </row>
    <row r="11" spans="1:14" ht="21" customHeight="1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4" ht="30" customHeight="1" x14ac:dyDescent="0.25">
      <c r="B12" s="18" t="s">
        <v>8</v>
      </c>
      <c r="C12" s="18"/>
      <c r="D12" s="18"/>
      <c r="E12" s="18" t="s">
        <v>10</v>
      </c>
      <c r="F12" s="18"/>
      <c r="G12" s="18"/>
      <c r="H12" s="18" t="s">
        <v>12</v>
      </c>
      <c r="I12" s="18"/>
      <c r="J12" s="18"/>
      <c r="K12" s="18" t="s">
        <v>14</v>
      </c>
      <c r="L12" s="18"/>
      <c r="M12" s="18"/>
    </row>
    <row r="14" spans="1:14" ht="27" customHeight="1" x14ac:dyDescent="0.25">
      <c r="B14" s="8" t="s">
        <v>47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4" ht="30" customHeight="1" x14ac:dyDescent="0.25">
      <c r="B15" s="27" t="s">
        <v>48</v>
      </c>
      <c r="C15" s="28" t="s">
        <v>49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4" ht="30" customHeight="1" x14ac:dyDescent="0.25">
      <c r="B16" s="27" t="s">
        <v>48</v>
      </c>
      <c r="C16" s="28" t="s">
        <v>50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2:13" ht="30" customHeight="1" x14ac:dyDescent="0.25">
      <c r="B17" s="27" t="s">
        <v>48</v>
      </c>
      <c r="C17" s="28" t="s">
        <v>51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2:13" ht="30" customHeight="1" x14ac:dyDescent="0.25">
      <c r="B18" s="27" t="s">
        <v>48</v>
      </c>
      <c r="C18" s="28" t="s">
        <v>52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2:13" ht="30" customHeight="1" x14ac:dyDescent="0.25">
      <c r="B19" s="27" t="s">
        <v>48</v>
      </c>
      <c r="C19" s="28" t="s">
        <v>53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2:13" ht="30" customHeight="1" x14ac:dyDescent="0.25">
      <c r="B20" s="27" t="s">
        <v>48</v>
      </c>
      <c r="C20" s="28" t="s">
        <v>54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2" spans="2:13" ht="27" customHeight="1" x14ac:dyDescent="0.25">
      <c r="B22" s="8" t="s">
        <v>55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10" t="s">
        <v>56</v>
      </c>
    </row>
    <row r="23" spans="2:13" ht="36" customHeight="1" x14ac:dyDescent="0.25">
      <c r="B23" s="29" t="s">
        <v>57</v>
      </c>
      <c r="C23" s="29"/>
      <c r="D23" s="29"/>
      <c r="E23" s="30" t="s">
        <v>58</v>
      </c>
      <c r="F23" s="30" t="s">
        <v>59</v>
      </c>
      <c r="G23" s="30"/>
      <c r="H23" s="30" t="s">
        <v>11</v>
      </c>
      <c r="I23" s="30" t="s">
        <v>13</v>
      </c>
      <c r="J23" s="30" t="s">
        <v>60</v>
      </c>
      <c r="K23" s="30"/>
      <c r="L23" s="30" t="s">
        <v>61</v>
      </c>
      <c r="M23" s="30" t="s">
        <v>62</v>
      </c>
    </row>
    <row r="24" spans="2:13" ht="19" customHeight="1" x14ac:dyDescent="0.25">
      <c r="B24" s="31" t="s">
        <v>21</v>
      </c>
      <c r="C24" s="31"/>
      <c r="D24" s="31"/>
      <c r="E24" s="32">
        <v>8</v>
      </c>
      <c r="F24" s="32">
        <v>1578019</v>
      </c>
      <c r="G24" s="32"/>
      <c r="H24" s="33" t="s">
        <v>63</v>
      </c>
      <c r="I24" s="34">
        <v>1011249392.987</v>
      </c>
      <c r="J24" s="34">
        <v>2747744414.336001</v>
      </c>
      <c r="K24" s="34"/>
      <c r="L24" s="34">
        <v>3758993807.323001</v>
      </c>
      <c r="M24" s="33" t="s">
        <v>64</v>
      </c>
    </row>
    <row r="25" spans="2:13" ht="19" customHeight="1" x14ac:dyDescent="0.25">
      <c r="B25" s="35" t="s">
        <v>65</v>
      </c>
      <c r="C25" s="35"/>
      <c r="D25" s="35"/>
      <c r="E25" s="36">
        <v>4</v>
      </c>
      <c r="F25" s="36">
        <v>456239</v>
      </c>
      <c r="G25" s="36"/>
      <c r="H25" s="36">
        <v>11158</v>
      </c>
      <c r="I25" s="37">
        <v>168752803.4473</v>
      </c>
      <c r="J25" s="37">
        <v>584655946.3615999</v>
      </c>
      <c r="K25" s="37"/>
      <c r="L25" s="37">
        <v>753408749.8088999</v>
      </c>
      <c r="M25" s="38" t="s">
        <v>64</v>
      </c>
    </row>
    <row r="27" spans="2:13" ht="27" customHeight="1" x14ac:dyDescent="0.25">
      <c r="B27" s="8" t="s">
        <v>66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10" t="s">
        <v>56</v>
      </c>
    </row>
    <row r="28" spans="2:13" ht="36" customHeight="1" x14ac:dyDescent="0.25">
      <c r="B28" s="29" t="s">
        <v>67</v>
      </c>
      <c r="C28" s="29"/>
      <c r="D28" s="29"/>
      <c r="E28" s="29"/>
      <c r="F28" s="39" t="s">
        <v>57</v>
      </c>
      <c r="G28" s="39"/>
      <c r="H28" s="39"/>
      <c r="I28" s="30" t="s">
        <v>59</v>
      </c>
      <c r="J28" s="30"/>
      <c r="K28" s="30" t="s">
        <v>68</v>
      </c>
      <c r="L28" s="30" t="s">
        <v>13</v>
      </c>
      <c r="M28" s="30" t="s">
        <v>61</v>
      </c>
    </row>
    <row r="29" spans="2:13" ht="19" customHeight="1" x14ac:dyDescent="0.25">
      <c r="B29" s="31" t="s">
        <v>69</v>
      </c>
      <c r="C29" s="31"/>
      <c r="D29" s="31"/>
      <c r="E29" s="31"/>
      <c r="F29" s="40" t="s">
        <v>21</v>
      </c>
      <c r="G29" s="40"/>
      <c r="H29" s="40"/>
      <c r="I29" s="32">
        <v>619073</v>
      </c>
      <c r="J29" s="32"/>
      <c r="K29" s="41">
        <v>0.3043237386801477</v>
      </c>
      <c r="L29" s="34">
        <v>270240632.487</v>
      </c>
      <c r="M29" s="34">
        <v>1072510267.903001</v>
      </c>
    </row>
    <row r="30" spans="2:13" ht="19" customHeight="1" x14ac:dyDescent="0.25">
      <c r="B30" s="35" t="s">
        <v>70</v>
      </c>
      <c r="C30" s="35"/>
      <c r="D30" s="35"/>
      <c r="E30" s="35"/>
      <c r="F30" s="42" t="s">
        <v>21</v>
      </c>
      <c r="G30" s="42"/>
      <c r="H30" s="42"/>
      <c r="I30" s="36">
        <v>367289</v>
      </c>
      <c r="J30" s="36"/>
      <c r="K30" s="43">
        <v>0.1805518277425971</v>
      </c>
      <c r="L30" s="37">
        <v>226002165.705</v>
      </c>
      <c r="M30" s="37">
        <v>805614489.509998</v>
      </c>
    </row>
    <row r="31" spans="2:13" ht="19" customHeight="1" x14ac:dyDescent="0.25">
      <c r="B31" s="31" t="s">
        <v>71</v>
      </c>
      <c r="C31" s="31"/>
      <c r="D31" s="31"/>
      <c r="E31" s="31"/>
      <c r="F31" s="40" t="s">
        <v>21</v>
      </c>
      <c r="G31" s="40"/>
      <c r="H31" s="40"/>
      <c r="I31" s="32">
        <v>303845</v>
      </c>
      <c r="J31" s="32"/>
      <c r="K31" s="41">
        <v>0.1493640433022753</v>
      </c>
      <c r="L31" s="34">
        <v>259215772.019</v>
      </c>
      <c r="M31" s="34">
        <v>988528018.812001</v>
      </c>
    </row>
    <row r="32" spans="2:13" ht="19" customHeight="1" x14ac:dyDescent="0.25">
      <c r="B32" s="35" t="s">
        <v>72</v>
      </c>
      <c r="C32" s="35"/>
      <c r="D32" s="35"/>
      <c r="E32" s="35"/>
      <c r="F32" s="42" t="s">
        <v>65</v>
      </c>
      <c r="G32" s="42"/>
      <c r="H32" s="42"/>
      <c r="I32" s="36">
        <v>274975</v>
      </c>
      <c r="J32" s="36"/>
      <c r="K32" s="43">
        <v>0.1351721364743312</v>
      </c>
      <c r="L32" s="37">
        <v>106079776.5513</v>
      </c>
      <c r="M32" s="37">
        <v>478818828.2436</v>
      </c>
    </row>
    <row r="33" spans="2:13" ht="19" customHeight="1" x14ac:dyDescent="0.25">
      <c r="B33" s="31" t="s">
        <v>73</v>
      </c>
      <c r="C33" s="31"/>
      <c r="D33" s="31"/>
      <c r="E33" s="31"/>
      <c r="F33" s="40" t="s">
        <v>21</v>
      </c>
      <c r="G33" s="40"/>
      <c r="H33" s="40"/>
      <c r="I33" s="32">
        <v>164983</v>
      </c>
      <c r="J33" s="32"/>
      <c r="K33" s="41">
        <v>0.08110229872513712</v>
      </c>
      <c r="L33" s="34">
        <v>84688778.48099999</v>
      </c>
      <c r="M33" s="34">
        <v>263808368.344003</v>
      </c>
    </row>
    <row r="34" spans="2:13" ht="19" customHeight="1" x14ac:dyDescent="0.25">
      <c r="B34" s="35" t="s">
        <v>74</v>
      </c>
      <c r="C34" s="35"/>
      <c r="D34" s="35"/>
      <c r="E34" s="35"/>
      <c r="F34" s="42" t="s">
        <v>65</v>
      </c>
      <c r="G34" s="42"/>
      <c r="H34" s="42"/>
      <c r="I34" s="36">
        <v>114697</v>
      </c>
      <c r="J34" s="36"/>
      <c r="K34" s="43">
        <v>0.05638272038256701</v>
      </c>
      <c r="L34" s="37">
        <v>34610032.5828</v>
      </c>
      <c r="M34" s="37">
        <v>145813638.4215</v>
      </c>
    </row>
    <row r="35" spans="2:13" ht="19" customHeight="1" x14ac:dyDescent="0.25">
      <c r="B35" s="31" t="s">
        <v>75</v>
      </c>
      <c r="C35" s="31"/>
      <c r="D35" s="31"/>
      <c r="E35" s="31"/>
      <c r="F35" s="40" t="s">
        <v>21</v>
      </c>
      <c r="G35" s="40"/>
      <c r="H35" s="40"/>
      <c r="I35" s="32">
        <v>72700</v>
      </c>
      <c r="J35" s="32"/>
      <c r="K35" s="41">
        <v>0.03573784642852578</v>
      </c>
      <c r="L35" s="34">
        <v>64076580.173</v>
      </c>
      <c r="M35" s="34">
        <v>247687058.163</v>
      </c>
    </row>
    <row r="36" spans="2:13" ht="19" customHeight="1" x14ac:dyDescent="0.25">
      <c r="B36" s="35" t="s">
        <v>76</v>
      </c>
      <c r="C36" s="35"/>
      <c r="D36" s="35"/>
      <c r="E36" s="35"/>
      <c r="F36" s="42" t="s">
        <v>21</v>
      </c>
      <c r="G36" s="42"/>
      <c r="H36" s="42"/>
      <c r="I36" s="36">
        <v>50129</v>
      </c>
      <c r="J36" s="36"/>
      <c r="K36" s="43">
        <v>0.02464240032483589</v>
      </c>
      <c r="L36" s="37">
        <v>107025464.122</v>
      </c>
      <c r="M36" s="37">
        <v>380561502.050999</v>
      </c>
    </row>
    <row r="37" spans="2:13" ht="19" customHeight="1" x14ac:dyDescent="0.25">
      <c r="B37" s="31" t="s">
        <v>77</v>
      </c>
      <c r="C37" s="31"/>
      <c r="D37" s="31"/>
      <c r="E37" s="31"/>
      <c r="F37" s="40" t="s">
        <v>65</v>
      </c>
      <c r="G37" s="40"/>
      <c r="H37" s="40"/>
      <c r="I37" s="32">
        <v>37039</v>
      </c>
      <c r="J37" s="32"/>
      <c r="K37" s="41">
        <v>0.01820762164877808</v>
      </c>
      <c r="L37" s="34">
        <v>12054355.5637</v>
      </c>
      <c r="M37" s="34">
        <v>50922190.1556</v>
      </c>
    </row>
    <row r="38" spans="2:13" ht="19" customHeight="1" x14ac:dyDescent="0.25">
      <c r="B38" s="35" t="s">
        <v>78</v>
      </c>
      <c r="C38" s="35"/>
      <c r="D38" s="35"/>
      <c r="E38" s="35"/>
      <c r="F38" s="42" t="s">
        <v>65</v>
      </c>
      <c r="G38" s="42"/>
      <c r="H38" s="42"/>
      <c r="I38" s="36">
        <v>29528</v>
      </c>
      <c r="J38" s="36"/>
      <c r="K38" s="43">
        <v>0.0145153662908048</v>
      </c>
      <c r="L38" s="37">
        <v>16008638.7495</v>
      </c>
      <c r="M38" s="37">
        <v>77854092.98820001</v>
      </c>
    </row>
    <row r="39" spans="2:13" ht="19" customHeight="1" x14ac:dyDescent="0.25">
      <c r="B39" s="31" t="s">
        <v>79</v>
      </c>
      <c r="C39" s="31"/>
      <c r="D39" s="31"/>
      <c r="E39" s="31"/>
      <c r="F39" s="40" t="s">
        <v>21</v>
      </c>
      <c r="G39" s="40"/>
      <c r="H39" s="40"/>
      <c r="I39" s="32">
        <v>0</v>
      </c>
      <c r="J39" s="32"/>
      <c r="K39" s="41">
        <v>0</v>
      </c>
      <c r="L39" s="34">
        <v>0</v>
      </c>
      <c r="M39" s="34">
        <v>212902.539998</v>
      </c>
    </row>
    <row r="40" spans="2:13" ht="19" customHeight="1" x14ac:dyDescent="0.25">
      <c r="B40" s="35" t="s">
        <v>80</v>
      </c>
      <c r="C40" s="35"/>
      <c r="D40" s="35"/>
      <c r="E40" s="35"/>
      <c r="F40" s="42" t="s">
        <v>21</v>
      </c>
      <c r="G40" s="42"/>
      <c r="H40" s="42"/>
      <c r="I40" s="36">
        <v>0</v>
      </c>
      <c r="J40" s="36"/>
      <c r="K40" s="43">
        <v>0</v>
      </c>
      <c r="L40" s="37">
        <v>0</v>
      </c>
      <c r="M40" s="37">
        <v>71200.00000100001</v>
      </c>
    </row>
    <row r="41" spans="2:13" ht="22" customHeight="1" x14ac:dyDescent="0.25">
      <c r="B41" s="44" t="s">
        <v>81</v>
      </c>
      <c r="C41" s="44"/>
      <c r="D41" s="44"/>
      <c r="E41" s="44"/>
      <c r="F41" s="45"/>
      <c r="G41" s="45"/>
      <c r="H41" s="45"/>
      <c r="I41" s="46">
        <f>SUM(I29:I40)</f>
        <v>2034258</v>
      </c>
      <c r="J41" s="46"/>
      <c r="K41" s="47">
        <v>1</v>
      </c>
      <c r="L41" s="48">
        <f>SUM(L29:L40)</f>
        <v>1180002196.4343</v>
      </c>
      <c r="M41" s="48">
        <f>SUM(M29:M40)</f>
        <v>4512402557.131901</v>
      </c>
    </row>
  </sheetData>
  <mergeCells count="69">
    <mergeCell ref="B9:D9"/>
    <mergeCell ref="B10:D11"/>
    <mergeCell ref="B12:D12"/>
    <mergeCell ref="E9:G9"/>
    <mergeCell ref="E10:G11"/>
    <mergeCell ref="E12:G12"/>
    <mergeCell ref="H9:J9"/>
    <mergeCell ref="H10:J11"/>
    <mergeCell ref="H12:J12"/>
    <mergeCell ref="K9:M9"/>
    <mergeCell ref="K10:M11"/>
    <mergeCell ref="K12:M12"/>
    <mergeCell ref="C15:M15"/>
    <mergeCell ref="C16:M16"/>
    <mergeCell ref="C17:M17"/>
    <mergeCell ref="C18:M18"/>
    <mergeCell ref="C19:M19"/>
    <mergeCell ref="C20:M20"/>
    <mergeCell ref="B23:D23"/>
    <mergeCell ref="F23:G23"/>
    <mergeCell ref="J23:K23"/>
    <mergeCell ref="B24:D24"/>
    <mergeCell ref="F24:G24"/>
    <mergeCell ref="J24:K24"/>
    <mergeCell ref="B25:D25"/>
    <mergeCell ref="F25:G25"/>
    <mergeCell ref="J25:K25"/>
    <mergeCell ref="B28:E28"/>
    <mergeCell ref="F28:H28"/>
    <mergeCell ref="I28:J28"/>
    <mergeCell ref="B29:E29"/>
    <mergeCell ref="F29:H29"/>
    <mergeCell ref="I29:J29"/>
    <mergeCell ref="B30:E30"/>
    <mergeCell ref="F30:H30"/>
    <mergeCell ref="I30:J30"/>
    <mergeCell ref="B31:E31"/>
    <mergeCell ref="F31:H31"/>
    <mergeCell ref="I31:J31"/>
    <mergeCell ref="B32:E32"/>
    <mergeCell ref="F32:H32"/>
    <mergeCell ref="I32:J32"/>
    <mergeCell ref="B33:E33"/>
    <mergeCell ref="F33:H33"/>
    <mergeCell ref="I33:J33"/>
    <mergeCell ref="B34:E34"/>
    <mergeCell ref="F34:H34"/>
    <mergeCell ref="I34:J34"/>
    <mergeCell ref="B35:E35"/>
    <mergeCell ref="F35:H35"/>
    <mergeCell ref="I35:J35"/>
    <mergeCell ref="B36:E36"/>
    <mergeCell ref="F36:H36"/>
    <mergeCell ref="I36:J36"/>
    <mergeCell ref="B37:E37"/>
    <mergeCell ref="F37:H37"/>
    <mergeCell ref="I37:J37"/>
    <mergeCell ref="B38:E38"/>
    <mergeCell ref="F38:H38"/>
    <mergeCell ref="I38:J38"/>
    <mergeCell ref="B39:E39"/>
    <mergeCell ref="F39:H39"/>
    <mergeCell ref="I39:J39"/>
    <mergeCell ref="B40:E40"/>
    <mergeCell ref="F40:H40"/>
    <mergeCell ref="I40:J40"/>
    <mergeCell ref="B41:E41"/>
    <mergeCell ref="F41:H41"/>
    <mergeCell ref="I41:J41"/>
  </mergeCells>
  <conditionalFormatting sqref="K29:K40">
    <cfRule type="dataBar" priority="1">
      <dataBar>
        <cfvo type="num" val="0"/>
        <cfvo type="num" val="1"/>
        <color rgb="FFA995E0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Estadística institucional&amp;C&amp;"Calibri,Regular"&amp;8&amp;K5A5765Página &amp;P de &amp;N&amp;R&amp;"Calibri,Regular"&amp;8&amp;K5A5765Selección a08650cd76fc</oddFooter>
  </headerFooter>
  <rowBreaks count="2" manualBreakCount="2">
    <brk id="26" max="16383" man="1"/>
    <brk id="42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K29:K40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03EA0"/>
    <pageSetUpPr fitToPage="1"/>
  </sheetPr>
  <dimension ref="A1:J57"/>
  <sheetViews>
    <sheetView showGridLines="0" zoomScale="90" zoomScaleNormal="90" workbookViewId="0">
      <pane ySplit="15" topLeftCell="A16" activePane="bottomLeft" state="frozen"/>
      <selection pane="bottomLeft"/>
    </sheetView>
  </sheetViews>
  <sheetFormatPr defaultRowHeight="15" x14ac:dyDescent="0.25"/>
  <cols>
    <col min="1" max="1" width="3.140625" customWidth="1"/>
    <col min="2" max="2" width="6.7109375" customWidth="1"/>
    <col min="3" max="3" width="40.7109375" customWidth="1"/>
    <col min="4" max="4" width="15.7109375" customWidth="1"/>
    <col min="5" max="5" width="13.7109375" customWidth="1"/>
    <col min="6" max="9" width="18.28515625" customWidth="1"/>
    <col min="10" max="10" width="3.140625" customWidth="1"/>
  </cols>
  <sheetData>
    <row r="1" spans="1:10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0" customHeight="1" x14ac:dyDescent="0.25">
      <c r="A2" s="1"/>
      <c r="B2" s="25" t="s">
        <v>21</v>
      </c>
      <c r="C2" s="1"/>
      <c r="D2" s="1"/>
      <c r="E2" s="1"/>
      <c r="F2" s="1"/>
      <c r="G2" s="1"/>
      <c r="H2" s="1"/>
      <c r="I2" s="1"/>
      <c r="J2" s="1"/>
    </row>
    <row r="3" spans="1:10" ht="22" customHeight="1" x14ac:dyDescent="0.25">
      <c r="A3" s="1"/>
      <c r="B3" s="26" t="s">
        <v>82</v>
      </c>
      <c r="C3" s="1"/>
      <c r="D3" s="1"/>
      <c r="E3" s="1"/>
      <c r="F3" s="1"/>
      <c r="G3" s="1"/>
      <c r="H3" s="1"/>
      <c r="I3" s="1"/>
      <c r="J3" s="1"/>
    </row>
    <row r="4" spans="1:10" ht="14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7" spans="1:10" ht="27" customHeight="1" x14ac:dyDescent="0.25">
      <c r="B7" s="8" t="s">
        <v>83</v>
      </c>
      <c r="C7" s="9"/>
      <c r="D7" s="9"/>
      <c r="E7" s="9"/>
      <c r="F7" s="9"/>
      <c r="G7" s="9"/>
      <c r="H7" s="9"/>
      <c r="I7" s="9"/>
    </row>
    <row r="9" spans="1:10" ht="24" customHeight="1" x14ac:dyDescent="0.25">
      <c r="B9" s="49" t="s">
        <v>84</v>
      </c>
      <c r="C9" s="49"/>
      <c r="D9" s="14" t="s">
        <v>13</v>
      </c>
      <c r="E9" s="14"/>
      <c r="F9" s="14"/>
      <c r="G9" s="50" t="s">
        <v>61</v>
      </c>
      <c r="H9" s="50"/>
      <c r="I9" s="50"/>
    </row>
    <row r="10" spans="1:10" ht="21" customHeight="1" x14ac:dyDescent="0.25">
      <c r="B10" s="15">
        <v>1578019</v>
      </c>
      <c r="C10" s="16"/>
      <c r="D10" s="17">
        <v>1011249392.987</v>
      </c>
      <c r="E10" s="16"/>
      <c r="F10" s="16"/>
      <c r="G10" s="17">
        <v>3758993807.323001</v>
      </c>
      <c r="H10" s="16"/>
      <c r="I10" s="16"/>
    </row>
    <row r="11" spans="1:10" ht="21" customHeight="1" x14ac:dyDescent="0.25">
      <c r="B11" s="16"/>
      <c r="C11" s="16"/>
      <c r="D11" s="16"/>
      <c r="E11" s="16"/>
      <c r="F11" s="16"/>
      <c r="G11" s="16"/>
      <c r="H11" s="16"/>
      <c r="I11" s="16"/>
    </row>
    <row r="12" spans="1:10" ht="30" customHeight="1" x14ac:dyDescent="0.25">
      <c r="B12" s="18" t="s">
        <v>85</v>
      </c>
      <c r="C12" s="18"/>
      <c r="D12" s="18" t="s">
        <v>86</v>
      </c>
      <c r="E12" s="18"/>
      <c r="F12" s="18"/>
      <c r="G12" s="18" t="s">
        <v>87</v>
      </c>
      <c r="H12" s="18"/>
      <c r="I12" s="18"/>
    </row>
    <row r="14" spans="1:10" ht="27" customHeight="1" x14ac:dyDescent="0.25">
      <c r="B14" s="8" t="s">
        <v>88</v>
      </c>
      <c r="C14" s="9"/>
      <c r="D14" s="9"/>
      <c r="E14" s="9"/>
      <c r="F14" s="9"/>
      <c r="G14" s="9"/>
      <c r="H14" s="9"/>
      <c r="I14" s="10" t="s">
        <v>89</v>
      </c>
    </row>
    <row r="15" spans="1:10" ht="34" customHeight="1" x14ac:dyDescent="0.25">
      <c r="B15" s="51" t="s">
        <v>90</v>
      </c>
      <c r="C15" s="39" t="s">
        <v>91</v>
      </c>
      <c r="D15" s="30" t="s">
        <v>92</v>
      </c>
      <c r="E15" s="30" t="s">
        <v>93</v>
      </c>
      <c r="F15" s="30" t="s">
        <v>13</v>
      </c>
      <c r="G15" s="30" t="s">
        <v>60</v>
      </c>
      <c r="H15" s="30" t="s">
        <v>61</v>
      </c>
      <c r="I15" s="30" t="s">
        <v>62</v>
      </c>
    </row>
    <row r="16" spans="1:10" ht="19" customHeight="1" x14ac:dyDescent="0.25">
      <c r="B16" s="52" t="s">
        <v>94</v>
      </c>
      <c r="C16" s="31" t="s">
        <v>69</v>
      </c>
      <c r="D16" s="32">
        <v>619073</v>
      </c>
      <c r="E16" s="41">
        <v>0.3923102320060785</v>
      </c>
      <c r="F16" s="53">
        <v>270240632.487</v>
      </c>
      <c r="G16" s="53">
        <v>802269635.416001</v>
      </c>
      <c r="H16" s="53">
        <v>1072510267.903001</v>
      </c>
      <c r="I16" s="33" t="s">
        <v>64</v>
      </c>
    </row>
    <row r="17" spans="2:9" ht="19" customHeight="1" x14ac:dyDescent="0.25">
      <c r="B17" s="54" t="s">
        <v>95</v>
      </c>
      <c r="C17" s="35" t="s">
        <v>70</v>
      </c>
      <c r="D17" s="36">
        <v>367289</v>
      </c>
      <c r="E17" s="43">
        <v>0.2327532178002926</v>
      </c>
      <c r="F17" s="55">
        <v>226002165.705</v>
      </c>
      <c r="G17" s="55">
        <v>579612323.804998</v>
      </c>
      <c r="H17" s="55">
        <v>805614489.509998</v>
      </c>
      <c r="I17" s="38" t="s">
        <v>64</v>
      </c>
    </row>
    <row r="18" spans="2:9" ht="19" customHeight="1" x14ac:dyDescent="0.25">
      <c r="B18" s="52" t="s">
        <v>96</v>
      </c>
      <c r="C18" s="31" t="s">
        <v>71</v>
      </c>
      <c r="D18" s="32">
        <v>303845</v>
      </c>
      <c r="E18" s="41">
        <v>0.1925483786950601</v>
      </c>
      <c r="F18" s="53">
        <v>259215772.019</v>
      </c>
      <c r="G18" s="53">
        <v>729312246.7930011</v>
      </c>
      <c r="H18" s="53">
        <v>988528018.812001</v>
      </c>
      <c r="I18" s="33" t="s">
        <v>64</v>
      </c>
    </row>
    <row r="19" spans="2:9" ht="19" customHeight="1" x14ac:dyDescent="0.25">
      <c r="B19" s="54" t="s">
        <v>97</v>
      </c>
      <c r="C19" s="35" t="s">
        <v>73</v>
      </c>
      <c r="D19" s="36">
        <v>164983</v>
      </c>
      <c r="E19" s="43">
        <v>0.1045507056632398</v>
      </c>
      <c r="F19" s="55">
        <v>84688778.48099999</v>
      </c>
      <c r="G19" s="55">
        <v>179119589.863003</v>
      </c>
      <c r="H19" s="55">
        <v>263808368.344003</v>
      </c>
      <c r="I19" s="38" t="s">
        <v>64</v>
      </c>
    </row>
    <row r="20" spans="2:9" ht="19" customHeight="1" x14ac:dyDescent="0.25">
      <c r="B20" s="52" t="s">
        <v>98</v>
      </c>
      <c r="C20" s="31" t="s">
        <v>75</v>
      </c>
      <c r="D20" s="32">
        <v>72700</v>
      </c>
      <c r="E20" s="41">
        <v>0.04607042120532136</v>
      </c>
      <c r="F20" s="53">
        <v>64076580.173</v>
      </c>
      <c r="G20" s="53">
        <v>183610477.99</v>
      </c>
      <c r="H20" s="53">
        <v>247687058.163</v>
      </c>
      <c r="I20" s="33" t="s">
        <v>64</v>
      </c>
    </row>
    <row r="21" spans="2:9" ht="19" customHeight="1" x14ac:dyDescent="0.25">
      <c r="B21" s="54" t="s">
        <v>99</v>
      </c>
      <c r="C21" s="35" t="s">
        <v>76</v>
      </c>
      <c r="D21" s="36">
        <v>50129</v>
      </c>
      <c r="E21" s="43">
        <v>0.03176704463000762</v>
      </c>
      <c r="F21" s="55">
        <v>107025464.122</v>
      </c>
      <c r="G21" s="55">
        <v>273536037.928999</v>
      </c>
      <c r="H21" s="55">
        <v>380561502.050999</v>
      </c>
      <c r="I21" s="38" t="s">
        <v>64</v>
      </c>
    </row>
    <row r="22" spans="2:9" ht="19" customHeight="1" x14ac:dyDescent="0.25">
      <c r="B22" s="52" t="s">
        <v>100</v>
      </c>
      <c r="C22" s="31" t="s">
        <v>79</v>
      </c>
      <c r="D22" s="32">
        <v>0</v>
      </c>
      <c r="E22" s="41">
        <v>0</v>
      </c>
      <c r="F22" s="53">
        <v>0</v>
      </c>
      <c r="G22" s="53">
        <v>212902.539998</v>
      </c>
      <c r="H22" s="53">
        <v>212902.539998</v>
      </c>
      <c r="I22" s="33" t="s">
        <v>64</v>
      </c>
    </row>
    <row r="23" spans="2:9" ht="19" customHeight="1" x14ac:dyDescent="0.25">
      <c r="B23" s="54" t="s">
        <v>101</v>
      </c>
      <c r="C23" s="35" t="s">
        <v>80</v>
      </c>
      <c r="D23" s="36">
        <v>0</v>
      </c>
      <c r="E23" s="43">
        <v>0</v>
      </c>
      <c r="F23" s="55">
        <v>0</v>
      </c>
      <c r="G23" s="55">
        <v>71200.00000100001</v>
      </c>
      <c r="H23" s="55">
        <v>71200.00000100001</v>
      </c>
      <c r="I23" s="38" t="s">
        <v>64</v>
      </c>
    </row>
    <row r="24" spans="2:9" ht="22" customHeight="1" x14ac:dyDescent="0.25">
      <c r="B24" s="45"/>
      <c r="C24" s="44" t="s">
        <v>81</v>
      </c>
      <c r="D24" s="46">
        <f>SUM(D16:D23)</f>
        <v>1578019</v>
      </c>
      <c r="E24" s="47">
        <v>1</v>
      </c>
      <c r="F24" s="56">
        <f>SUM(F16:F23)</f>
        <v>1011249392.987</v>
      </c>
      <c r="G24" s="56">
        <f>SUM(G16:G23)</f>
        <v>2747744414.336001</v>
      </c>
      <c r="H24" s="56">
        <f>SUM(H16:H23)</f>
        <v>3758993807.323001</v>
      </c>
      <c r="I24" s="57" t="s">
        <v>64</v>
      </c>
    </row>
    <row r="26" spans="2:9" ht="32" customHeight="1" x14ac:dyDescent="0.25">
      <c r="B26" s="24" t="s">
        <v>102</v>
      </c>
      <c r="C26" s="24"/>
      <c r="D26" s="24"/>
      <c r="E26" s="24"/>
      <c r="F26" s="24"/>
      <c r="G26" s="24"/>
      <c r="H26" s="24"/>
      <c r="I26" s="24"/>
    </row>
    <row r="46" spans="2:9" ht="27" customHeight="1" x14ac:dyDescent="0.25">
      <c r="B46" s="8" t="s">
        <v>103</v>
      </c>
      <c r="C46" s="9"/>
      <c r="D46" s="9"/>
      <c r="E46" s="9"/>
      <c r="F46" s="9"/>
      <c r="G46" s="9"/>
      <c r="H46" s="9"/>
      <c r="I46" s="10" t="s">
        <v>104</v>
      </c>
    </row>
    <row r="47" spans="2:9" ht="34" customHeight="1" x14ac:dyDescent="0.25">
      <c r="B47" s="51" t="s">
        <v>90</v>
      </c>
      <c r="C47" s="39" t="s">
        <v>105</v>
      </c>
      <c r="D47" s="30" t="s">
        <v>92</v>
      </c>
      <c r="E47" s="30" t="s">
        <v>93</v>
      </c>
      <c r="F47" s="30" t="s">
        <v>13</v>
      </c>
      <c r="G47" s="39" t="s">
        <v>106</v>
      </c>
    </row>
    <row r="48" spans="2:9" ht="19" customHeight="1" x14ac:dyDescent="0.25">
      <c r="B48" s="52" t="s">
        <v>94</v>
      </c>
      <c r="C48" s="31" t="s">
        <v>107</v>
      </c>
      <c r="D48" s="32">
        <v>312265</v>
      </c>
      <c r="E48" s="41">
        <v>0.1978841826365842</v>
      </c>
      <c r="F48" s="53">
        <v>197809521.859</v>
      </c>
      <c r="G48" s="40" t="s">
        <v>108</v>
      </c>
    </row>
    <row r="49" spans="2:7" ht="19" customHeight="1" x14ac:dyDescent="0.25">
      <c r="B49" s="54" t="s">
        <v>95</v>
      </c>
      <c r="C49" s="35" t="s">
        <v>109</v>
      </c>
      <c r="D49" s="36">
        <v>214817</v>
      </c>
      <c r="E49" s="43">
        <v>0.1361308070435147</v>
      </c>
      <c r="F49" s="55">
        <v>135440336.98</v>
      </c>
      <c r="G49" s="42" t="s">
        <v>108</v>
      </c>
    </row>
    <row r="50" spans="2:7" ht="19" customHeight="1" x14ac:dyDescent="0.25">
      <c r="B50" s="52" t="s">
        <v>96</v>
      </c>
      <c r="C50" s="31" t="s">
        <v>110</v>
      </c>
      <c r="D50" s="32">
        <v>126547</v>
      </c>
      <c r="E50" s="41">
        <v>0.08019358448789272</v>
      </c>
      <c r="F50" s="53">
        <v>78719742.789</v>
      </c>
      <c r="G50" s="40" t="s">
        <v>108</v>
      </c>
    </row>
    <row r="51" spans="2:7" ht="19" customHeight="1" x14ac:dyDescent="0.25">
      <c r="B51" s="54" t="s">
        <v>97</v>
      </c>
      <c r="C51" s="35" t="s">
        <v>111</v>
      </c>
      <c r="D51" s="36">
        <v>107356</v>
      </c>
      <c r="E51" s="43">
        <v>0.06803213396036423</v>
      </c>
      <c r="F51" s="55">
        <v>73027314.73899999</v>
      </c>
      <c r="G51" s="42" t="s">
        <v>112</v>
      </c>
    </row>
    <row r="52" spans="2:7" ht="19" customHeight="1" x14ac:dyDescent="0.25">
      <c r="B52" s="52" t="s">
        <v>98</v>
      </c>
      <c r="C52" s="31" t="s">
        <v>113</v>
      </c>
      <c r="D52" s="32">
        <v>104516</v>
      </c>
      <c r="E52" s="41">
        <v>0.0662324091154796</v>
      </c>
      <c r="F52" s="53">
        <v>65550639.10600001</v>
      </c>
      <c r="G52" s="40" t="s">
        <v>108</v>
      </c>
    </row>
    <row r="53" spans="2:7" ht="19" customHeight="1" x14ac:dyDescent="0.25">
      <c r="B53" s="54" t="s">
        <v>99</v>
      </c>
      <c r="C53" s="35" t="s">
        <v>114</v>
      </c>
      <c r="D53" s="36">
        <v>66600</v>
      </c>
      <c r="E53" s="43">
        <v>0.04220481502440718</v>
      </c>
      <c r="F53" s="55">
        <v>43381040.12400001</v>
      </c>
      <c r="G53" s="42" t="s">
        <v>112</v>
      </c>
    </row>
    <row r="54" spans="2:7" ht="19" customHeight="1" x14ac:dyDescent="0.25">
      <c r="B54" s="52" t="s">
        <v>100</v>
      </c>
      <c r="C54" s="31" t="s">
        <v>115</v>
      </c>
      <c r="D54" s="32">
        <v>66269</v>
      </c>
      <c r="E54" s="41">
        <v>0.04199505836114775</v>
      </c>
      <c r="F54" s="53">
        <v>42703090.61</v>
      </c>
      <c r="G54" s="40" t="s">
        <v>112</v>
      </c>
    </row>
    <row r="55" spans="2:7" ht="19" customHeight="1" x14ac:dyDescent="0.25">
      <c r="B55" s="54" t="s">
        <v>101</v>
      </c>
      <c r="C55" s="35" t="s">
        <v>116</v>
      </c>
      <c r="D55" s="36">
        <v>59564</v>
      </c>
      <c r="E55" s="43">
        <v>0.03774606009179864</v>
      </c>
      <c r="F55" s="55">
        <v>40304619.987</v>
      </c>
      <c r="G55" s="42" t="s">
        <v>112</v>
      </c>
    </row>
    <row r="56" spans="2:7" ht="19" customHeight="1" x14ac:dyDescent="0.25">
      <c r="B56" s="52" t="s">
        <v>117</v>
      </c>
      <c r="C56" s="31" t="s">
        <v>118</v>
      </c>
      <c r="D56" s="32">
        <v>57099</v>
      </c>
      <c r="E56" s="41">
        <v>0.03618397497115054</v>
      </c>
      <c r="F56" s="53">
        <v>37114106.194</v>
      </c>
      <c r="G56" s="40" t="s">
        <v>112</v>
      </c>
    </row>
    <row r="57" spans="2:7" ht="19" customHeight="1" x14ac:dyDescent="0.25">
      <c r="B57" s="54" t="s">
        <v>119</v>
      </c>
      <c r="C57" s="35" t="s">
        <v>120</v>
      </c>
      <c r="D57" s="36">
        <v>53308</v>
      </c>
      <c r="E57" s="43">
        <v>0.03378159578560207</v>
      </c>
      <c r="F57" s="55">
        <v>34395554.649</v>
      </c>
      <c r="G57" s="42" t="s">
        <v>112</v>
      </c>
    </row>
  </sheetData>
  <mergeCells count="10">
    <mergeCell ref="B9:C9"/>
    <mergeCell ref="B10:C11"/>
    <mergeCell ref="B12:C12"/>
    <mergeCell ref="D9:F9"/>
    <mergeCell ref="D10:F11"/>
    <mergeCell ref="D12:F12"/>
    <mergeCell ref="G9:I9"/>
    <mergeCell ref="G10:I11"/>
    <mergeCell ref="G12:I12"/>
    <mergeCell ref="B26:I26"/>
  </mergeCells>
  <conditionalFormatting sqref="E16:E23">
    <cfRule type="dataBar" priority="1">
      <dataBar>
        <cfvo type="num" val="0"/>
        <cfvo type="num" val="1"/>
        <color rgb="FFB09ED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E48:E57">
    <cfRule type="dataBar" priority="2">
      <dataBar>
        <cfvo type="num" val="0"/>
        <cfvo type="num" val="1"/>
        <color rgb="FFB09ED0"/>
      </dataBar>
      <extLst>
        <ext xmlns:x14="http://schemas.microsoft.com/office/spreadsheetml/2009/9/main" uri="{B025F937-C7B1-47D3-B67F-A62EFF666E3E}">
          <x14:id>{DA7ABA51-AAAA-BBBB-0003-000000000002}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Estadística institucional&amp;C&amp;"Calibri,Regular"&amp;8&amp;K5A5765Página &amp;P de &amp;N&amp;R&amp;"Calibri,Regular"&amp;8&amp;K5A5765Selección a08650cd76fc</oddFooter>
  </headerFooter>
  <rowBreaks count="2" manualBreakCount="2">
    <brk id="27" max="16383" man="1"/>
    <brk id="45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E16:E23</xm:sqref>
        </x14:conditionalFormatting>
        <x14:conditionalFormatting xmlns:xm="http://schemas.microsoft.com/office/excel/2006/main">
          <x14:cfRule type="dataBar" id="{DA7ABA51-AAAA-BBBB-0003-0000000000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E48:E57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3F8D"/>
    <pageSetUpPr fitToPage="1"/>
  </sheetPr>
  <dimension ref="A1:K52"/>
  <sheetViews>
    <sheetView showGridLines="0" zoomScale="90" zoomScaleNormal="90" workbookViewId="0">
      <pane ySplit="15" topLeftCell="A16" activePane="bottomLeft" state="frozen"/>
      <selection pane="bottomLeft"/>
    </sheetView>
  </sheetViews>
  <sheetFormatPr defaultRowHeight="15" x14ac:dyDescent="0.25"/>
  <cols>
    <col min="1" max="1" width="3.140625" customWidth="1"/>
    <col min="2" max="2" width="6.7109375" customWidth="1"/>
    <col min="3" max="3" width="40.7109375" customWidth="1"/>
    <col min="4" max="4" width="15.7109375" customWidth="1"/>
    <col min="5" max="5" width="13.7109375" customWidth="1"/>
    <col min="6" max="6" width="14.7109375" customWidth="1"/>
    <col min="7" max="10" width="18.28515625" customWidth="1"/>
    <col min="11" max="11" width="3.140625" customWidth="1"/>
  </cols>
  <sheetData>
    <row r="1" spans="1:11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0" customHeight="1" x14ac:dyDescent="0.25">
      <c r="A2" s="1"/>
      <c r="B2" s="25" t="s">
        <v>65</v>
      </c>
      <c r="C2" s="1"/>
      <c r="D2" s="1"/>
      <c r="E2" s="1"/>
      <c r="F2" s="1"/>
      <c r="G2" s="1"/>
      <c r="H2" s="1"/>
      <c r="I2" s="1"/>
      <c r="J2" s="1"/>
      <c r="K2" s="1"/>
    </row>
    <row r="3" spans="1:11" ht="22" customHeight="1" x14ac:dyDescent="0.25">
      <c r="A3" s="1"/>
      <c r="B3" s="26" t="s">
        <v>121</v>
      </c>
      <c r="C3" s="1"/>
      <c r="D3" s="1"/>
      <c r="E3" s="1"/>
      <c r="F3" s="1"/>
      <c r="G3" s="1"/>
      <c r="H3" s="1"/>
      <c r="I3" s="1"/>
      <c r="J3" s="1"/>
      <c r="K3" s="1"/>
    </row>
    <row r="4" spans="1:11" ht="14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7" spans="1:11" ht="27" customHeight="1" x14ac:dyDescent="0.25">
      <c r="B7" s="8" t="s">
        <v>83</v>
      </c>
      <c r="C7" s="9"/>
      <c r="D7" s="9"/>
      <c r="E7" s="9"/>
      <c r="F7" s="9"/>
      <c r="G7" s="9"/>
      <c r="H7" s="9"/>
      <c r="I7" s="9"/>
      <c r="J7" s="9"/>
    </row>
    <row r="9" spans="1:11" ht="24" customHeight="1" x14ac:dyDescent="0.25">
      <c r="B9" s="12" t="s">
        <v>122</v>
      </c>
      <c r="C9" s="12"/>
      <c r="D9" s="13" t="s">
        <v>11</v>
      </c>
      <c r="E9" s="13"/>
      <c r="F9" s="14" t="s">
        <v>13</v>
      </c>
      <c r="G9" s="14"/>
      <c r="H9" s="14"/>
      <c r="I9" s="50" t="s">
        <v>61</v>
      </c>
      <c r="J9" s="50"/>
    </row>
    <row r="10" spans="1:11" ht="21" customHeight="1" x14ac:dyDescent="0.25">
      <c r="B10" s="15">
        <v>456239</v>
      </c>
      <c r="C10" s="16"/>
      <c r="D10" s="15">
        <v>11158</v>
      </c>
      <c r="E10" s="16"/>
      <c r="F10" s="17">
        <v>168752803.4473</v>
      </c>
      <c r="G10" s="16"/>
      <c r="H10" s="16"/>
      <c r="I10" s="17">
        <v>753408749.8088999</v>
      </c>
      <c r="J10" s="16"/>
    </row>
    <row r="11" spans="1:11" ht="21" customHeight="1" x14ac:dyDescent="0.25">
      <c r="B11" s="16"/>
      <c r="C11" s="16"/>
      <c r="D11" s="16"/>
      <c r="E11" s="16"/>
      <c r="F11" s="16"/>
      <c r="G11" s="16"/>
      <c r="H11" s="16"/>
      <c r="I11" s="16"/>
      <c r="J11" s="16"/>
    </row>
    <row r="12" spans="1:11" ht="30" customHeight="1" x14ac:dyDescent="0.25">
      <c r="B12" s="18" t="s">
        <v>85</v>
      </c>
      <c r="C12" s="18"/>
      <c r="D12" s="18" t="s">
        <v>123</v>
      </c>
      <c r="E12" s="18"/>
      <c r="F12" s="18" t="s">
        <v>86</v>
      </c>
      <c r="G12" s="18"/>
      <c r="H12" s="18"/>
      <c r="I12" s="18" t="s">
        <v>87</v>
      </c>
      <c r="J12" s="18"/>
    </row>
    <row r="14" spans="1:11" ht="27" customHeight="1" x14ac:dyDescent="0.25">
      <c r="B14" s="8" t="s">
        <v>124</v>
      </c>
      <c r="C14" s="9"/>
      <c r="D14" s="9"/>
      <c r="E14" s="9"/>
      <c r="F14" s="9"/>
      <c r="G14" s="9"/>
      <c r="H14" s="9"/>
      <c r="I14" s="9"/>
      <c r="J14" s="10" t="s">
        <v>89</v>
      </c>
    </row>
    <row r="15" spans="1:11" ht="34" customHeight="1" x14ac:dyDescent="0.25">
      <c r="B15" s="51" t="s">
        <v>90</v>
      </c>
      <c r="C15" s="39" t="s">
        <v>125</v>
      </c>
      <c r="D15" s="30" t="s">
        <v>126</v>
      </c>
      <c r="E15" s="30" t="s">
        <v>93</v>
      </c>
      <c r="F15" s="30" t="s">
        <v>11</v>
      </c>
      <c r="G15" s="30" t="s">
        <v>13</v>
      </c>
      <c r="H15" s="30" t="s">
        <v>60</v>
      </c>
      <c r="I15" s="30" t="s">
        <v>61</v>
      </c>
      <c r="J15" s="30" t="s">
        <v>62</v>
      </c>
    </row>
    <row r="16" spans="1:11" ht="19" customHeight="1" x14ac:dyDescent="0.25">
      <c r="B16" s="52" t="s">
        <v>94</v>
      </c>
      <c r="C16" s="31" t="s">
        <v>72</v>
      </c>
      <c r="D16" s="32">
        <v>274975</v>
      </c>
      <c r="E16" s="41">
        <v>0.6026994623432017</v>
      </c>
      <c r="F16" s="32">
        <v>6759</v>
      </c>
      <c r="G16" s="53">
        <v>106079776.5513</v>
      </c>
      <c r="H16" s="53">
        <v>372739051.6923</v>
      </c>
      <c r="I16" s="53">
        <v>478818828.2436</v>
      </c>
      <c r="J16" s="33" t="s">
        <v>64</v>
      </c>
    </row>
    <row r="17" spans="2:10" ht="19" customHeight="1" x14ac:dyDescent="0.25">
      <c r="B17" s="54" t="s">
        <v>95</v>
      </c>
      <c r="C17" s="35" t="s">
        <v>74</v>
      </c>
      <c r="D17" s="36">
        <v>114697</v>
      </c>
      <c r="E17" s="43">
        <v>0.2513967460037393</v>
      </c>
      <c r="F17" s="36">
        <v>2792</v>
      </c>
      <c r="G17" s="55">
        <v>34610032.5828</v>
      </c>
      <c r="H17" s="55">
        <v>111203605.8387</v>
      </c>
      <c r="I17" s="55">
        <v>145813638.4215</v>
      </c>
      <c r="J17" s="38" t="s">
        <v>64</v>
      </c>
    </row>
    <row r="18" spans="2:10" ht="19" customHeight="1" x14ac:dyDescent="0.25">
      <c r="B18" s="52" t="s">
        <v>96</v>
      </c>
      <c r="C18" s="31" t="s">
        <v>77</v>
      </c>
      <c r="D18" s="32">
        <v>37039</v>
      </c>
      <c r="E18" s="41">
        <v>0.0811833271596685</v>
      </c>
      <c r="F18" s="32">
        <v>1229</v>
      </c>
      <c r="G18" s="53">
        <v>12054355.5637</v>
      </c>
      <c r="H18" s="53">
        <v>38867834.5919</v>
      </c>
      <c r="I18" s="53">
        <v>50922190.1556</v>
      </c>
      <c r="J18" s="33" t="s">
        <v>64</v>
      </c>
    </row>
    <row r="19" spans="2:10" ht="19" customHeight="1" x14ac:dyDescent="0.25">
      <c r="B19" s="54" t="s">
        <v>97</v>
      </c>
      <c r="C19" s="35" t="s">
        <v>78</v>
      </c>
      <c r="D19" s="36">
        <v>29528</v>
      </c>
      <c r="E19" s="43">
        <v>0.06472046449339053</v>
      </c>
      <c r="F19" s="36">
        <v>378</v>
      </c>
      <c r="G19" s="55">
        <v>16008638.7495</v>
      </c>
      <c r="H19" s="55">
        <v>61845454.2387</v>
      </c>
      <c r="I19" s="55">
        <v>77854092.98820001</v>
      </c>
      <c r="J19" s="38" t="s">
        <v>64</v>
      </c>
    </row>
    <row r="20" spans="2:10" ht="22" customHeight="1" x14ac:dyDescent="0.25">
      <c r="B20" s="45"/>
      <c r="C20" s="44" t="s">
        <v>81</v>
      </c>
      <c r="D20" s="46">
        <f>SUM(D16:D19)</f>
        <v>456239</v>
      </c>
      <c r="E20" s="47">
        <v>1</v>
      </c>
      <c r="F20" s="46">
        <f>SUM(F16:F19)</f>
        <v>11158</v>
      </c>
      <c r="G20" s="56">
        <f>SUM(G16:G19)</f>
        <v>168752803.44730002</v>
      </c>
      <c r="H20" s="56">
        <f>SUM(H16:H19)</f>
        <v>584655946.3615999</v>
      </c>
      <c r="I20" s="56">
        <f>SUM(I16:I19)</f>
        <v>753408749.8088999</v>
      </c>
      <c r="J20" s="57" t="s">
        <v>64</v>
      </c>
    </row>
    <row r="22" spans="2:10" ht="32" customHeight="1" x14ac:dyDescent="0.25">
      <c r="B22" s="24" t="s">
        <v>102</v>
      </c>
      <c r="C22" s="24"/>
      <c r="D22" s="24"/>
      <c r="E22" s="24"/>
      <c r="F22" s="24"/>
      <c r="G22" s="24"/>
      <c r="H22" s="24"/>
      <c r="I22" s="24"/>
      <c r="J22" s="24"/>
    </row>
    <row r="41" spans="2:10" ht="27" customHeight="1" x14ac:dyDescent="0.25">
      <c r="B41" s="8" t="s">
        <v>103</v>
      </c>
      <c r="C41" s="9"/>
      <c r="D41" s="9"/>
      <c r="E41" s="9"/>
      <c r="F41" s="9"/>
      <c r="G41" s="9"/>
      <c r="H41" s="9"/>
      <c r="I41" s="9"/>
      <c r="J41" s="10" t="s">
        <v>104</v>
      </c>
    </row>
    <row r="42" spans="2:10" ht="34" customHeight="1" x14ac:dyDescent="0.25">
      <c r="B42" s="51" t="s">
        <v>90</v>
      </c>
      <c r="C42" s="39" t="s">
        <v>105</v>
      </c>
      <c r="D42" s="30" t="s">
        <v>126</v>
      </c>
      <c r="E42" s="30" t="s">
        <v>93</v>
      </c>
      <c r="F42" s="30" t="s">
        <v>11</v>
      </c>
      <c r="G42" s="30" t="s">
        <v>13</v>
      </c>
      <c r="H42" s="39" t="s">
        <v>106</v>
      </c>
    </row>
    <row r="43" spans="2:10" ht="19" customHeight="1" x14ac:dyDescent="0.25">
      <c r="B43" s="52" t="s">
        <v>94</v>
      </c>
      <c r="C43" s="31" t="s">
        <v>107</v>
      </c>
      <c r="D43" s="32">
        <v>87943</v>
      </c>
      <c r="E43" s="41">
        <v>0.1927564281001843</v>
      </c>
      <c r="F43" s="32">
        <v>2041</v>
      </c>
      <c r="G43" s="53">
        <v>28381585.4396</v>
      </c>
      <c r="H43" s="40" t="s">
        <v>108</v>
      </c>
    </row>
    <row r="44" spans="2:10" ht="19" customHeight="1" x14ac:dyDescent="0.25">
      <c r="B44" s="54" t="s">
        <v>95</v>
      </c>
      <c r="C44" s="35" t="s">
        <v>109</v>
      </c>
      <c r="D44" s="36">
        <v>57131</v>
      </c>
      <c r="E44" s="43">
        <v>0.1252216491794871</v>
      </c>
      <c r="F44" s="36">
        <v>1348</v>
      </c>
      <c r="G44" s="55">
        <v>13438428.5199</v>
      </c>
      <c r="H44" s="42" t="s">
        <v>108</v>
      </c>
    </row>
    <row r="45" spans="2:10" ht="19" customHeight="1" x14ac:dyDescent="0.25">
      <c r="B45" s="52" t="s">
        <v>96</v>
      </c>
      <c r="C45" s="31" t="s">
        <v>111</v>
      </c>
      <c r="D45" s="32">
        <v>33362</v>
      </c>
      <c r="E45" s="41">
        <v>0.07312395476932046</v>
      </c>
      <c r="F45" s="32">
        <v>772</v>
      </c>
      <c r="G45" s="53">
        <v>20651546.0416</v>
      </c>
      <c r="H45" s="40" t="s">
        <v>112</v>
      </c>
    </row>
    <row r="46" spans="2:10" ht="19" customHeight="1" x14ac:dyDescent="0.25">
      <c r="B46" s="54" t="s">
        <v>97</v>
      </c>
      <c r="C46" s="35" t="s">
        <v>110</v>
      </c>
      <c r="D46" s="36">
        <v>25135</v>
      </c>
      <c r="E46" s="43">
        <v>0.05509173919809573</v>
      </c>
      <c r="F46" s="36">
        <v>588</v>
      </c>
      <c r="G46" s="55">
        <v>6567439.1295</v>
      </c>
      <c r="H46" s="42" t="s">
        <v>108</v>
      </c>
    </row>
    <row r="47" spans="2:10" ht="19" customHeight="1" x14ac:dyDescent="0.25">
      <c r="B47" s="52" t="s">
        <v>98</v>
      </c>
      <c r="C47" s="31" t="s">
        <v>116</v>
      </c>
      <c r="D47" s="32">
        <v>24736</v>
      </c>
      <c r="E47" s="41">
        <v>0.05421719756531116</v>
      </c>
      <c r="F47" s="32">
        <v>635</v>
      </c>
      <c r="G47" s="53">
        <v>7419347.870300001</v>
      </c>
      <c r="H47" s="40" t="s">
        <v>112</v>
      </c>
    </row>
    <row r="48" spans="2:10" ht="19" customHeight="1" x14ac:dyDescent="0.25">
      <c r="B48" s="54" t="s">
        <v>99</v>
      </c>
      <c r="C48" s="35" t="s">
        <v>113</v>
      </c>
      <c r="D48" s="36">
        <v>22896</v>
      </c>
      <c r="E48" s="43">
        <v>0.05018422361963795</v>
      </c>
      <c r="F48" s="36">
        <v>558</v>
      </c>
      <c r="G48" s="55">
        <v>11910492.0423</v>
      </c>
      <c r="H48" s="42" t="s">
        <v>108</v>
      </c>
    </row>
    <row r="49" spans="2:8" ht="19" customHeight="1" x14ac:dyDescent="0.25">
      <c r="B49" s="52" t="s">
        <v>100</v>
      </c>
      <c r="C49" s="31" t="s">
        <v>114</v>
      </c>
      <c r="D49" s="32">
        <v>21651</v>
      </c>
      <c r="E49" s="41">
        <v>0.04745539070531016</v>
      </c>
      <c r="F49" s="32">
        <v>555</v>
      </c>
      <c r="G49" s="53">
        <v>8972424.3301</v>
      </c>
      <c r="H49" s="40" t="s">
        <v>112</v>
      </c>
    </row>
    <row r="50" spans="2:8" ht="19" customHeight="1" x14ac:dyDescent="0.25">
      <c r="B50" s="54" t="s">
        <v>101</v>
      </c>
      <c r="C50" s="35" t="s">
        <v>127</v>
      </c>
      <c r="D50" s="36">
        <v>21042</v>
      </c>
      <c r="E50" s="43">
        <v>0.04612056400263897</v>
      </c>
      <c r="F50" s="36">
        <v>483</v>
      </c>
      <c r="G50" s="55">
        <v>6049794.5287</v>
      </c>
      <c r="H50" s="42" t="s">
        <v>108</v>
      </c>
    </row>
    <row r="51" spans="2:8" ht="19" customHeight="1" x14ac:dyDescent="0.25">
      <c r="B51" s="52" t="s">
        <v>117</v>
      </c>
      <c r="C51" s="31" t="s">
        <v>120</v>
      </c>
      <c r="D51" s="32">
        <v>17543</v>
      </c>
      <c r="E51" s="41">
        <v>0.03845133800486149</v>
      </c>
      <c r="F51" s="32">
        <v>462</v>
      </c>
      <c r="G51" s="53">
        <v>7752494.2978</v>
      </c>
      <c r="H51" s="40" t="s">
        <v>112</v>
      </c>
    </row>
    <row r="52" spans="2:8" ht="19" customHeight="1" x14ac:dyDescent="0.25">
      <c r="B52" s="54" t="s">
        <v>119</v>
      </c>
      <c r="C52" s="35" t="s">
        <v>118</v>
      </c>
      <c r="D52" s="36">
        <v>16852</v>
      </c>
      <c r="E52" s="43">
        <v>0.03693678094156791</v>
      </c>
      <c r="F52" s="36">
        <v>434</v>
      </c>
      <c r="G52" s="55">
        <v>5915321.5475</v>
      </c>
      <c r="H52" s="42" t="s">
        <v>112</v>
      </c>
    </row>
  </sheetData>
  <mergeCells count="13">
    <mergeCell ref="B9:C9"/>
    <mergeCell ref="B10:C11"/>
    <mergeCell ref="B12:C12"/>
    <mergeCell ref="D9:E9"/>
    <mergeCell ref="D10:E11"/>
    <mergeCell ref="D12:E12"/>
    <mergeCell ref="F9:H9"/>
    <mergeCell ref="F10:H11"/>
    <mergeCell ref="F12:H12"/>
    <mergeCell ref="I9:J9"/>
    <mergeCell ref="I10:J11"/>
    <mergeCell ref="I12:J12"/>
    <mergeCell ref="B22:J22"/>
  </mergeCells>
  <conditionalFormatting sqref="E16:E19">
    <cfRule type="dataBar" priority="1">
      <dataBar>
        <cfvo type="num" val="0"/>
        <cfvo type="num" val="1"/>
        <color rgb="FFE19FC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43:E52">
    <cfRule type="dataBar" priority="2">
      <dataBar>
        <cfvo type="num" val="0"/>
        <cfvo type="num" val="1"/>
        <color rgb="FFE19FC6"/>
      </dataBar>
      <extLst>
        <ext xmlns:x14="http://schemas.microsoft.com/office/spreadsheetml/2009/9/main" uri="{B025F937-C7B1-47D3-B67F-A62EFF666E3E}">
          <x14:id>{DA7ABA51-AAAA-BBBB-0004-000000000002}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Estadística institucional&amp;C&amp;"Calibri,Regular"&amp;8&amp;K5A5765Página &amp;P de &amp;N&amp;R&amp;"Calibri,Regular"&amp;8&amp;K5A5765Selección a08650cd76fc</oddFooter>
  </headerFooter>
  <rowBreaks count="2" manualBreakCount="2">
    <brk id="23" max="16383" man="1"/>
    <brk id="40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E16:E19</xm:sqref>
        </x14:conditionalFormatting>
        <x14:conditionalFormatting xmlns:xm="http://schemas.microsoft.com/office/excel/2006/main">
          <x14:cfRule type="dataBar" id="{DA7ABA51-AAAA-BBBB-0004-0000000000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E43:E52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C018"/>
    <pageSetUpPr fitToPage="1"/>
  </sheetPr>
  <dimension ref="A1:P95"/>
  <sheetViews>
    <sheetView showGridLines="0" zoomScale="90" zoomScaleNormal="90" workbookViewId="0"/>
  </sheetViews>
  <sheetFormatPr defaultRowHeight="15" x14ac:dyDescent="0.25"/>
  <cols>
    <col min="1" max="1" width="3.140625" customWidth="1"/>
    <col min="2" max="2" width="8.7109375" customWidth="1"/>
    <col min="3" max="3" width="30.7109375" customWidth="1"/>
    <col min="4" max="15" width="13.7109375" customWidth="1"/>
    <col min="16" max="16" width="3.140625" customWidth="1"/>
  </cols>
  <sheetData>
    <row r="1" spans="1:16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40" customHeight="1" x14ac:dyDescent="0.25">
      <c r="A2" s="1"/>
      <c r="B2" s="25" t="s">
        <v>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2" customHeight="1" x14ac:dyDescent="0.25">
      <c r="A3" s="1"/>
      <c r="B3" s="26" t="s">
        <v>128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7" spans="1:16" ht="27" customHeight="1" x14ac:dyDescent="0.25">
      <c r="B7" s="8" t="s">
        <v>129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 t="s">
        <v>130</v>
      </c>
    </row>
    <row r="10" spans="1:16" x14ac:dyDescent="0.25">
      <c r="I10" s="58" t="s">
        <v>131</v>
      </c>
      <c r="J10" s="58"/>
      <c r="K10" s="58"/>
      <c r="L10" s="58"/>
      <c r="M10" s="58"/>
      <c r="N10" s="58"/>
    </row>
    <row r="11" spans="1:16" ht="22" customHeight="1" x14ac:dyDescent="0.25">
      <c r="I11" s="59">
        <v>1</v>
      </c>
      <c r="J11" s="60" t="s">
        <v>107</v>
      </c>
      <c r="K11" s="60"/>
      <c r="L11" s="60"/>
      <c r="M11" s="61">
        <v>400208</v>
      </c>
      <c r="N11" s="62">
        <v>0.1967341409005151</v>
      </c>
    </row>
    <row r="12" spans="1:16" ht="22" customHeight="1" x14ac:dyDescent="0.25">
      <c r="I12" s="59">
        <v>2</v>
      </c>
      <c r="J12" s="63" t="s">
        <v>109</v>
      </c>
      <c r="K12" s="63"/>
      <c r="L12" s="63"/>
      <c r="M12" s="64">
        <v>271948</v>
      </c>
      <c r="N12" s="65">
        <v>0.133684124629226</v>
      </c>
    </row>
    <row r="13" spans="1:16" ht="22" customHeight="1" x14ac:dyDescent="0.25">
      <c r="I13" s="59">
        <v>3</v>
      </c>
      <c r="J13" s="60" t="s">
        <v>110</v>
      </c>
      <c r="K13" s="60"/>
      <c r="L13" s="60"/>
      <c r="M13" s="61">
        <v>151682</v>
      </c>
      <c r="N13" s="62">
        <v>0.07456379672588236</v>
      </c>
    </row>
    <row r="14" spans="1:16" ht="22" customHeight="1" x14ac:dyDescent="0.25">
      <c r="I14" s="66">
        <v>4</v>
      </c>
      <c r="J14" s="67" t="s">
        <v>111</v>
      </c>
      <c r="K14" s="67"/>
      <c r="L14" s="67"/>
      <c r="M14" s="64">
        <v>140718</v>
      </c>
      <c r="N14" s="65">
        <v>0.06917411655748681</v>
      </c>
    </row>
    <row r="15" spans="1:16" ht="22" customHeight="1" x14ac:dyDescent="0.25">
      <c r="I15" s="68">
        <v>5</v>
      </c>
      <c r="J15" s="69" t="s">
        <v>113</v>
      </c>
      <c r="K15" s="69"/>
      <c r="L15" s="69"/>
      <c r="M15" s="61">
        <v>127412</v>
      </c>
      <c r="N15" s="62">
        <v>0.06263315665957808</v>
      </c>
    </row>
    <row r="16" spans="1:16" ht="22" customHeight="1" x14ac:dyDescent="0.25">
      <c r="I16" s="66">
        <v>6</v>
      </c>
      <c r="J16" s="67" t="s">
        <v>114</v>
      </c>
      <c r="K16" s="67"/>
      <c r="L16" s="67"/>
      <c r="M16" s="64">
        <v>88251</v>
      </c>
      <c r="N16" s="65">
        <v>0.04338240282206092</v>
      </c>
    </row>
    <row r="17" spans="9:14" ht="22" customHeight="1" x14ac:dyDescent="0.25">
      <c r="I17" s="68">
        <v>7</v>
      </c>
      <c r="J17" s="69" t="s">
        <v>116</v>
      </c>
      <c r="K17" s="69"/>
      <c r="L17" s="69"/>
      <c r="M17" s="61">
        <v>84300</v>
      </c>
      <c r="N17" s="62">
        <v>0.04144017130570458</v>
      </c>
    </row>
    <row r="18" spans="9:14" ht="22" customHeight="1" x14ac:dyDescent="0.25">
      <c r="I18" s="66">
        <v>8</v>
      </c>
      <c r="J18" s="67" t="s">
        <v>115</v>
      </c>
      <c r="K18" s="67"/>
      <c r="L18" s="67"/>
      <c r="M18" s="64">
        <v>82242</v>
      </c>
      <c r="N18" s="65">
        <v>0.04042850021973614</v>
      </c>
    </row>
    <row r="19" spans="9:14" ht="22" customHeight="1" x14ac:dyDescent="0.25">
      <c r="I19" s="68">
        <v>9</v>
      </c>
      <c r="J19" s="69" t="s">
        <v>118</v>
      </c>
      <c r="K19" s="69"/>
      <c r="L19" s="69"/>
      <c r="M19" s="61">
        <v>73951</v>
      </c>
      <c r="N19" s="62">
        <v>0.03635281267174567</v>
      </c>
    </row>
    <row r="20" spans="9:14" ht="22" customHeight="1" x14ac:dyDescent="0.25">
      <c r="I20" s="66">
        <v>10</v>
      </c>
      <c r="J20" s="67" t="s">
        <v>120</v>
      </c>
      <c r="K20" s="67"/>
      <c r="L20" s="67"/>
      <c r="M20" s="64">
        <v>70851</v>
      </c>
      <c r="N20" s="65">
        <v>0.03482891550629271</v>
      </c>
    </row>
    <row r="22" spans="9:14" x14ac:dyDescent="0.25">
      <c r="I22" s="70" t="s">
        <v>132</v>
      </c>
      <c r="J22" s="70"/>
      <c r="K22" s="70"/>
      <c r="L22" s="70"/>
      <c r="M22" s="70"/>
      <c r="N22" s="70"/>
    </row>
    <row r="23" spans="9:14" x14ac:dyDescent="0.25">
      <c r="I23" s="70"/>
      <c r="J23" s="70"/>
      <c r="K23" s="70"/>
      <c r="L23" s="70"/>
      <c r="M23" s="70"/>
      <c r="N23" s="70"/>
    </row>
    <row r="24" spans="9:14" x14ac:dyDescent="0.25">
      <c r="I24" s="70"/>
      <c r="J24" s="70"/>
      <c r="K24" s="70"/>
      <c r="L24" s="70"/>
      <c r="M24" s="70"/>
      <c r="N24" s="70"/>
    </row>
    <row r="35" spans="2:15" ht="27" customHeight="1" x14ac:dyDescent="0.25">
      <c r="B35" s="8" t="s">
        <v>133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 t="s">
        <v>56</v>
      </c>
    </row>
    <row r="36" spans="2:15" ht="36" customHeight="1" x14ac:dyDescent="0.25">
      <c r="B36" s="29" t="s">
        <v>134</v>
      </c>
      <c r="C36" s="39" t="s">
        <v>105</v>
      </c>
      <c r="D36" s="39" t="s">
        <v>106</v>
      </c>
      <c r="E36" s="30" t="s">
        <v>135</v>
      </c>
      <c r="F36" s="30" t="s">
        <v>136</v>
      </c>
      <c r="G36" s="30" t="s">
        <v>11</v>
      </c>
      <c r="H36" s="30" t="s">
        <v>137</v>
      </c>
      <c r="I36" s="30" t="s">
        <v>93</v>
      </c>
      <c r="J36" s="30" t="s">
        <v>13</v>
      </c>
      <c r="K36" s="30" t="s">
        <v>60</v>
      </c>
      <c r="L36" s="30" t="s">
        <v>61</v>
      </c>
    </row>
    <row r="37" spans="2:15" ht="19" customHeight="1" x14ac:dyDescent="0.25">
      <c r="B37" s="40" t="s">
        <v>138</v>
      </c>
      <c r="C37" s="31" t="s">
        <v>107</v>
      </c>
      <c r="D37" s="40" t="s">
        <v>108</v>
      </c>
      <c r="E37" s="32">
        <v>312265</v>
      </c>
      <c r="F37" s="32">
        <v>87943</v>
      </c>
      <c r="G37" s="32">
        <v>2041</v>
      </c>
      <c r="H37" s="32">
        <v>400208</v>
      </c>
      <c r="I37" s="41">
        <v>0.1967341409005151</v>
      </c>
      <c r="J37" s="34">
        <v>226191107.2986</v>
      </c>
      <c r="K37" s="34">
        <v>628027281.027922</v>
      </c>
      <c r="L37" s="34">
        <v>854218388.326522</v>
      </c>
    </row>
    <row r="38" spans="2:15" ht="19" customHeight="1" x14ac:dyDescent="0.25">
      <c r="B38" s="42" t="s">
        <v>139</v>
      </c>
      <c r="C38" s="35" t="s">
        <v>109</v>
      </c>
      <c r="D38" s="42" t="s">
        <v>108</v>
      </c>
      <c r="E38" s="36">
        <v>214817</v>
      </c>
      <c r="F38" s="36">
        <v>57131</v>
      </c>
      <c r="G38" s="36">
        <v>1348</v>
      </c>
      <c r="H38" s="36">
        <v>271948</v>
      </c>
      <c r="I38" s="43">
        <v>0.133684124629226</v>
      </c>
      <c r="J38" s="37">
        <v>148878765.4999</v>
      </c>
      <c r="K38" s="37">
        <v>421531643.429819</v>
      </c>
      <c r="L38" s="37">
        <v>570410408.9297191</v>
      </c>
    </row>
    <row r="39" spans="2:15" ht="19" customHeight="1" x14ac:dyDescent="0.25">
      <c r="B39" s="40" t="s">
        <v>140</v>
      </c>
      <c r="C39" s="31" t="s">
        <v>110</v>
      </c>
      <c r="D39" s="40" t="s">
        <v>108</v>
      </c>
      <c r="E39" s="32">
        <v>126547</v>
      </c>
      <c r="F39" s="32">
        <v>25135</v>
      </c>
      <c r="G39" s="32">
        <v>588</v>
      </c>
      <c r="H39" s="32">
        <v>151682</v>
      </c>
      <c r="I39" s="41">
        <v>0.07456379672588236</v>
      </c>
      <c r="J39" s="34">
        <v>85287181.91850001</v>
      </c>
      <c r="K39" s="34">
        <v>250721559.323939</v>
      </c>
      <c r="L39" s="34">
        <v>336008741.242439</v>
      </c>
    </row>
    <row r="40" spans="2:15" ht="19" customHeight="1" x14ac:dyDescent="0.25">
      <c r="B40" s="42" t="s">
        <v>141</v>
      </c>
      <c r="C40" s="35" t="s">
        <v>111</v>
      </c>
      <c r="D40" s="42" t="s">
        <v>112</v>
      </c>
      <c r="E40" s="36">
        <v>107356</v>
      </c>
      <c r="F40" s="36">
        <v>33362</v>
      </c>
      <c r="G40" s="36">
        <v>772</v>
      </c>
      <c r="H40" s="36">
        <v>140718</v>
      </c>
      <c r="I40" s="43">
        <v>0.06917411655748681</v>
      </c>
      <c r="J40" s="37">
        <v>93678860.78060001</v>
      </c>
      <c r="K40" s="37">
        <v>243486216.648039</v>
      </c>
      <c r="L40" s="37">
        <v>337165077.4286389</v>
      </c>
    </row>
    <row r="41" spans="2:15" ht="19" customHeight="1" x14ac:dyDescent="0.25">
      <c r="B41" s="40" t="s">
        <v>142</v>
      </c>
      <c r="C41" s="31" t="s">
        <v>113</v>
      </c>
      <c r="D41" s="40" t="s">
        <v>108</v>
      </c>
      <c r="E41" s="32">
        <v>104516</v>
      </c>
      <c r="F41" s="32">
        <v>22896</v>
      </c>
      <c r="G41" s="32">
        <v>558</v>
      </c>
      <c r="H41" s="32">
        <v>127412</v>
      </c>
      <c r="I41" s="41">
        <v>0.06263315665957808</v>
      </c>
      <c r="J41" s="34">
        <v>77461131.14829999</v>
      </c>
      <c r="K41" s="34">
        <v>200864378.785865</v>
      </c>
      <c r="L41" s="34">
        <v>278325509.934165</v>
      </c>
    </row>
    <row r="42" spans="2:15" ht="19" customHeight="1" x14ac:dyDescent="0.25">
      <c r="B42" s="42" t="s">
        <v>143</v>
      </c>
      <c r="C42" s="35" t="s">
        <v>114</v>
      </c>
      <c r="D42" s="42" t="s">
        <v>112</v>
      </c>
      <c r="E42" s="36">
        <v>66600</v>
      </c>
      <c r="F42" s="36">
        <v>21651</v>
      </c>
      <c r="G42" s="36">
        <v>555</v>
      </c>
      <c r="H42" s="36">
        <v>88251</v>
      </c>
      <c r="I42" s="43">
        <v>0.04338240282206092</v>
      </c>
      <c r="J42" s="37">
        <v>52353464.45410001</v>
      </c>
      <c r="K42" s="37">
        <v>154985629.281355</v>
      </c>
      <c r="L42" s="37">
        <v>207339093.735455</v>
      </c>
    </row>
    <row r="43" spans="2:15" ht="19" customHeight="1" x14ac:dyDescent="0.25">
      <c r="B43" s="40" t="s">
        <v>144</v>
      </c>
      <c r="C43" s="31" t="s">
        <v>116</v>
      </c>
      <c r="D43" s="40" t="s">
        <v>112</v>
      </c>
      <c r="E43" s="32">
        <v>59564</v>
      </c>
      <c r="F43" s="32">
        <v>24736</v>
      </c>
      <c r="G43" s="32">
        <v>635</v>
      </c>
      <c r="H43" s="32">
        <v>84300</v>
      </c>
      <c r="I43" s="41">
        <v>0.04144017130570458</v>
      </c>
      <c r="J43" s="34">
        <v>47723967.8573</v>
      </c>
      <c r="K43" s="34">
        <v>138654043.318893</v>
      </c>
      <c r="L43" s="34">
        <v>186378011.176193</v>
      </c>
    </row>
    <row r="44" spans="2:15" ht="19" customHeight="1" x14ac:dyDescent="0.25">
      <c r="B44" s="42" t="s">
        <v>145</v>
      </c>
      <c r="C44" s="35" t="s">
        <v>115</v>
      </c>
      <c r="D44" s="42" t="s">
        <v>112</v>
      </c>
      <c r="E44" s="36">
        <v>66269</v>
      </c>
      <c r="F44" s="36">
        <v>15973</v>
      </c>
      <c r="G44" s="36">
        <v>421</v>
      </c>
      <c r="H44" s="36">
        <v>82242</v>
      </c>
      <c r="I44" s="43">
        <v>0.04042850021973614</v>
      </c>
      <c r="J44" s="37">
        <v>49699358.3895</v>
      </c>
      <c r="K44" s="37">
        <v>142979615.520057</v>
      </c>
      <c r="L44" s="37">
        <v>192678973.909557</v>
      </c>
    </row>
    <row r="45" spans="2:15" ht="19" customHeight="1" x14ac:dyDescent="0.25">
      <c r="B45" s="40" t="s">
        <v>119</v>
      </c>
      <c r="C45" s="31" t="s">
        <v>118</v>
      </c>
      <c r="D45" s="40" t="s">
        <v>112</v>
      </c>
      <c r="E45" s="32">
        <v>57099</v>
      </c>
      <c r="F45" s="32">
        <v>16852</v>
      </c>
      <c r="G45" s="32">
        <v>434</v>
      </c>
      <c r="H45" s="32">
        <v>73951</v>
      </c>
      <c r="I45" s="41">
        <v>0.03635281267174567</v>
      </c>
      <c r="J45" s="34">
        <v>43029427.7415</v>
      </c>
      <c r="K45" s="34">
        <v>123707221.404428</v>
      </c>
      <c r="L45" s="34">
        <v>166736649.145928</v>
      </c>
    </row>
    <row r="46" spans="2:15" ht="19" customHeight="1" x14ac:dyDescent="0.25">
      <c r="B46" s="42" t="s">
        <v>146</v>
      </c>
      <c r="C46" s="35" t="s">
        <v>120</v>
      </c>
      <c r="D46" s="42" t="s">
        <v>112</v>
      </c>
      <c r="E46" s="36">
        <v>53308</v>
      </c>
      <c r="F46" s="36">
        <v>17543</v>
      </c>
      <c r="G46" s="36">
        <v>462</v>
      </c>
      <c r="H46" s="36">
        <v>70851</v>
      </c>
      <c r="I46" s="43">
        <v>0.03482891550629271</v>
      </c>
      <c r="J46" s="37">
        <v>42148048.94679999</v>
      </c>
      <c r="K46" s="37">
        <v>127626636.663173</v>
      </c>
      <c r="L46" s="37">
        <v>169774685.609973</v>
      </c>
    </row>
    <row r="47" spans="2:15" ht="19" customHeight="1" x14ac:dyDescent="0.25">
      <c r="B47" s="40" t="s">
        <v>147</v>
      </c>
      <c r="C47" s="31" t="s">
        <v>127</v>
      </c>
      <c r="D47" s="40" t="s">
        <v>108</v>
      </c>
      <c r="E47" s="32">
        <v>48796</v>
      </c>
      <c r="F47" s="32">
        <v>21042</v>
      </c>
      <c r="G47" s="32">
        <v>483</v>
      </c>
      <c r="H47" s="32">
        <v>69838</v>
      </c>
      <c r="I47" s="41">
        <v>0.03433094523900115</v>
      </c>
      <c r="J47" s="34">
        <v>39534129.8257</v>
      </c>
      <c r="K47" s="34">
        <v>109950652.255595</v>
      </c>
      <c r="L47" s="34">
        <v>149484782.081295</v>
      </c>
    </row>
    <row r="48" spans="2:15" ht="19" customHeight="1" x14ac:dyDescent="0.25">
      <c r="B48" s="42" t="s">
        <v>148</v>
      </c>
      <c r="C48" s="35" t="s">
        <v>149</v>
      </c>
      <c r="D48" s="42" t="s">
        <v>108</v>
      </c>
      <c r="E48" s="36">
        <v>51240</v>
      </c>
      <c r="F48" s="36">
        <v>15753</v>
      </c>
      <c r="G48" s="36">
        <v>402</v>
      </c>
      <c r="H48" s="36">
        <v>66993</v>
      </c>
      <c r="I48" s="43">
        <v>0.03293240090489997</v>
      </c>
      <c r="J48" s="37">
        <v>36494142.57099999</v>
      </c>
      <c r="K48" s="37">
        <v>102698854.908677</v>
      </c>
      <c r="L48" s="37">
        <v>139192997.479677</v>
      </c>
    </row>
    <row r="49" spans="2:15" ht="19" customHeight="1" x14ac:dyDescent="0.25">
      <c r="B49" s="40" t="s">
        <v>150</v>
      </c>
      <c r="C49" s="31" t="s">
        <v>151</v>
      </c>
      <c r="D49" s="40" t="s">
        <v>112</v>
      </c>
      <c r="E49" s="32">
        <v>49111</v>
      </c>
      <c r="F49" s="32">
        <v>16165</v>
      </c>
      <c r="G49" s="32">
        <v>404</v>
      </c>
      <c r="H49" s="32">
        <v>65276</v>
      </c>
      <c r="I49" s="41">
        <v>0.03208835850713135</v>
      </c>
      <c r="J49" s="34">
        <v>38684820.4742</v>
      </c>
      <c r="K49" s="34">
        <v>110970973.914111</v>
      </c>
      <c r="L49" s="34">
        <v>149655794.388311</v>
      </c>
    </row>
    <row r="50" spans="2:15" ht="19" customHeight="1" x14ac:dyDescent="0.25">
      <c r="B50" s="42" t="s">
        <v>152</v>
      </c>
      <c r="C50" s="35" t="s">
        <v>153</v>
      </c>
      <c r="D50" s="42" t="s">
        <v>108</v>
      </c>
      <c r="E50" s="36">
        <v>46305</v>
      </c>
      <c r="F50" s="36">
        <v>8668</v>
      </c>
      <c r="G50" s="36">
        <v>197</v>
      </c>
      <c r="H50" s="36">
        <v>54973</v>
      </c>
      <c r="I50" s="43">
        <v>0.02702361254078883</v>
      </c>
      <c r="J50" s="37">
        <v>31363346.8919</v>
      </c>
      <c r="K50" s="37">
        <v>91809216.32938801</v>
      </c>
      <c r="L50" s="37">
        <v>123172563.221288</v>
      </c>
    </row>
    <row r="51" spans="2:15" ht="19" customHeight="1" x14ac:dyDescent="0.25">
      <c r="B51" s="40" t="s">
        <v>154</v>
      </c>
      <c r="C51" s="31" t="s">
        <v>155</v>
      </c>
      <c r="D51" s="40" t="s">
        <v>112</v>
      </c>
      <c r="E51" s="32">
        <v>36980</v>
      </c>
      <c r="F51" s="32">
        <v>10964</v>
      </c>
      <c r="G51" s="32">
        <v>306</v>
      </c>
      <c r="H51" s="32">
        <v>47944</v>
      </c>
      <c r="I51" s="41">
        <v>0.02356829861305695</v>
      </c>
      <c r="J51" s="34">
        <v>27824826.3182</v>
      </c>
      <c r="K51" s="34">
        <v>85973572.65921001</v>
      </c>
      <c r="L51" s="34">
        <v>113798398.97741</v>
      </c>
    </row>
    <row r="52" spans="2:15" ht="19" customHeight="1" x14ac:dyDescent="0.25">
      <c r="B52" s="42" t="s">
        <v>156</v>
      </c>
      <c r="C52" s="35" t="s">
        <v>157</v>
      </c>
      <c r="D52" s="42" t="s">
        <v>158</v>
      </c>
      <c r="E52" s="36">
        <v>32836</v>
      </c>
      <c r="F52" s="36">
        <v>11982</v>
      </c>
      <c r="G52" s="36">
        <v>303</v>
      </c>
      <c r="H52" s="36">
        <v>44818</v>
      </c>
      <c r="I52" s="43">
        <v>0.02203162037460342</v>
      </c>
      <c r="J52" s="37">
        <v>25798714.2849</v>
      </c>
      <c r="K52" s="37">
        <v>78393543.43073201</v>
      </c>
      <c r="L52" s="37">
        <v>104192257.715632</v>
      </c>
    </row>
    <row r="53" spans="2:15" ht="19" customHeight="1" x14ac:dyDescent="0.25">
      <c r="B53" s="40" t="s">
        <v>159</v>
      </c>
      <c r="C53" s="31" t="s">
        <v>160</v>
      </c>
      <c r="D53" s="40" t="s">
        <v>112</v>
      </c>
      <c r="E53" s="32">
        <v>25588</v>
      </c>
      <c r="F53" s="32">
        <v>11184</v>
      </c>
      <c r="G53" s="32">
        <v>314</v>
      </c>
      <c r="H53" s="32">
        <v>36772</v>
      </c>
      <c r="I53" s="41">
        <v>0.01807636986065681</v>
      </c>
      <c r="J53" s="34">
        <v>21124548.5918</v>
      </c>
      <c r="K53" s="34">
        <v>62343831.213525</v>
      </c>
      <c r="L53" s="34">
        <v>83468379.80532497</v>
      </c>
    </row>
    <row r="54" spans="2:15" ht="19" customHeight="1" x14ac:dyDescent="0.25">
      <c r="B54" s="42" t="s">
        <v>161</v>
      </c>
      <c r="C54" s="35" t="s">
        <v>162</v>
      </c>
      <c r="D54" s="42" t="s">
        <v>158</v>
      </c>
      <c r="E54" s="36">
        <v>27191</v>
      </c>
      <c r="F54" s="36">
        <v>8460</v>
      </c>
      <c r="G54" s="36">
        <v>212</v>
      </c>
      <c r="H54" s="36">
        <v>35651</v>
      </c>
      <c r="I54" s="43">
        <v>0.01752530898243979</v>
      </c>
      <c r="J54" s="37">
        <v>20392047.621</v>
      </c>
      <c r="K54" s="37">
        <v>52128345.701862</v>
      </c>
      <c r="L54" s="37">
        <v>72520393.322862</v>
      </c>
    </row>
    <row r="55" spans="2:15" ht="19" customHeight="1" x14ac:dyDescent="0.25">
      <c r="B55" s="40" t="s">
        <v>163</v>
      </c>
      <c r="C55" s="31" t="s">
        <v>164</v>
      </c>
      <c r="D55" s="40" t="s">
        <v>158</v>
      </c>
      <c r="E55" s="32">
        <v>23018</v>
      </c>
      <c r="F55" s="32">
        <v>7457</v>
      </c>
      <c r="G55" s="32">
        <v>189</v>
      </c>
      <c r="H55" s="32">
        <v>30475</v>
      </c>
      <c r="I55" s="41">
        <v>0.01498089229586414</v>
      </c>
      <c r="J55" s="34">
        <v>16762986.0877</v>
      </c>
      <c r="K55" s="34">
        <v>46314482.889741</v>
      </c>
      <c r="L55" s="34">
        <v>63077468.977441</v>
      </c>
    </row>
    <row r="56" spans="2:15" ht="19" customHeight="1" x14ac:dyDescent="0.25">
      <c r="B56" s="42" t="s">
        <v>165</v>
      </c>
      <c r="C56" s="35" t="s">
        <v>166</v>
      </c>
      <c r="D56" s="42" t="s">
        <v>112</v>
      </c>
      <c r="E56" s="36">
        <v>21140</v>
      </c>
      <c r="F56" s="36">
        <v>6291</v>
      </c>
      <c r="G56" s="36">
        <v>130</v>
      </c>
      <c r="H56" s="36">
        <v>27431</v>
      </c>
      <c r="I56" s="43">
        <v>0.0134845235953355</v>
      </c>
      <c r="J56" s="37">
        <v>15551308.1056</v>
      </c>
      <c r="K56" s="37">
        <v>44698024.014228</v>
      </c>
      <c r="L56" s="37">
        <v>60249332.119828</v>
      </c>
    </row>
    <row r="57" spans="2:15" ht="19" customHeight="1" x14ac:dyDescent="0.25">
      <c r="B57" s="40" t="s">
        <v>167</v>
      </c>
      <c r="C57" s="31" t="s">
        <v>168</v>
      </c>
      <c r="D57" s="40" t="s">
        <v>158</v>
      </c>
      <c r="E57" s="32">
        <v>20174</v>
      </c>
      <c r="F57" s="32">
        <v>5031</v>
      </c>
      <c r="G57" s="32">
        <v>142</v>
      </c>
      <c r="H57" s="32">
        <v>25205</v>
      </c>
      <c r="I57" s="41">
        <v>0.01239026711459412</v>
      </c>
      <c r="J57" s="34">
        <v>16722944.0705</v>
      </c>
      <c r="K57" s="34">
        <v>49115023.52010401</v>
      </c>
      <c r="L57" s="34">
        <v>65837967.59060401</v>
      </c>
    </row>
    <row r="58" spans="2:15" ht="19" customHeight="1" x14ac:dyDescent="0.25">
      <c r="B58" s="42" t="s">
        <v>169</v>
      </c>
      <c r="C58" s="35" t="s">
        <v>170</v>
      </c>
      <c r="D58" s="42" t="s">
        <v>158</v>
      </c>
      <c r="E58" s="36">
        <v>13824</v>
      </c>
      <c r="F58" s="36">
        <v>4482</v>
      </c>
      <c r="G58" s="36">
        <v>119</v>
      </c>
      <c r="H58" s="36">
        <v>18306</v>
      </c>
      <c r="I58" s="43">
        <v>0.008998858551865102</v>
      </c>
      <c r="J58" s="37">
        <v>11541916.2286</v>
      </c>
      <c r="K58" s="37">
        <v>32112597.859762</v>
      </c>
      <c r="L58" s="37">
        <v>43654514.088362</v>
      </c>
    </row>
    <row r="59" spans="2:15" ht="19" customHeight="1" x14ac:dyDescent="0.25">
      <c r="B59" s="40" t="s">
        <v>171</v>
      </c>
      <c r="C59" s="31" t="s">
        <v>172</v>
      </c>
      <c r="D59" s="40" t="s">
        <v>158</v>
      </c>
      <c r="E59" s="32">
        <v>12710</v>
      </c>
      <c r="F59" s="32">
        <v>4931</v>
      </c>
      <c r="G59" s="32">
        <v>127</v>
      </c>
      <c r="H59" s="32">
        <v>17641</v>
      </c>
      <c r="I59" s="41">
        <v>0.008671958030888905</v>
      </c>
      <c r="J59" s="34">
        <v>10799316.3951</v>
      </c>
      <c r="K59" s="34">
        <v>31300641.846923</v>
      </c>
      <c r="L59" s="34">
        <v>42099958.242023</v>
      </c>
    </row>
    <row r="60" spans="2:15" ht="19" customHeight="1" x14ac:dyDescent="0.25">
      <c r="B60" s="42" t="s">
        <v>173</v>
      </c>
      <c r="C60" s="35" t="s">
        <v>174</v>
      </c>
      <c r="D60" s="42" t="s">
        <v>175</v>
      </c>
      <c r="E60" s="36">
        <v>357</v>
      </c>
      <c r="F60" s="36">
        <v>607</v>
      </c>
      <c r="G60" s="36">
        <v>16</v>
      </c>
      <c r="H60" s="36">
        <v>964</v>
      </c>
      <c r="I60" s="43">
        <v>0.0004738828604827903</v>
      </c>
      <c r="J60" s="37">
        <v>695326.689</v>
      </c>
      <c r="K60" s="37">
        <v>1878272.182749</v>
      </c>
      <c r="L60" s="37">
        <v>2573598.871749</v>
      </c>
    </row>
    <row r="61" spans="2:15" ht="19" customHeight="1" x14ac:dyDescent="0.25">
      <c r="B61" s="40" t="s">
        <v>176</v>
      </c>
      <c r="C61" s="31" t="s">
        <v>177</v>
      </c>
      <c r="D61" s="40" t="s">
        <v>178</v>
      </c>
      <c r="E61" s="32">
        <v>408</v>
      </c>
      <c r="F61" s="33" t="s">
        <v>64</v>
      </c>
      <c r="G61" s="33" t="s">
        <v>63</v>
      </c>
      <c r="H61" s="32">
        <v>408</v>
      </c>
      <c r="I61" s="41">
        <v>0.0002005645301628407</v>
      </c>
      <c r="J61" s="34">
        <v>260508.244</v>
      </c>
      <c r="K61" s="34">
        <v>128102.567504</v>
      </c>
      <c r="L61" s="34">
        <v>388610.811504</v>
      </c>
    </row>
    <row r="62" spans="2:15" ht="22" customHeight="1" x14ac:dyDescent="0.25">
      <c r="B62" s="45"/>
      <c r="C62" s="44" t="s">
        <v>81</v>
      </c>
      <c r="D62" s="45"/>
      <c r="E62" s="46">
        <f>SUM(E37:E61)</f>
        <v>1578019</v>
      </c>
      <c r="F62" s="46">
        <f>SUM(F37:F61)</f>
        <v>456239</v>
      </c>
      <c r="G62" s="46">
        <f>SUM(G37:G61)</f>
        <v>11158</v>
      </c>
      <c r="H62" s="46">
        <f>SUM(H37:H61)</f>
        <v>2034258</v>
      </c>
      <c r="I62" s="47">
        <v>1</v>
      </c>
      <c r="J62" s="48">
        <f>SUM(J37:J61)</f>
        <v>1180002196.4343</v>
      </c>
      <c r="K62" s="48">
        <f>SUM(K37:K61)</f>
        <v>3332400360.6976013</v>
      </c>
      <c r="L62" s="48">
        <f>SUM(L37:L61)</f>
        <v>4512402557.131901</v>
      </c>
    </row>
    <row r="64" spans="2:15" ht="32" customHeight="1" x14ac:dyDescent="0.25">
      <c r="B64" s="24" t="s">
        <v>179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6" spans="2:15" ht="27" customHeight="1" x14ac:dyDescent="0.25">
      <c r="B66" s="8" t="s">
        <v>180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0" t="s">
        <v>181</v>
      </c>
    </row>
    <row r="67" spans="2:15" ht="30" customHeight="1" x14ac:dyDescent="0.25">
      <c r="B67" s="71" t="s">
        <v>105</v>
      </c>
      <c r="C67" s="71"/>
      <c r="D67" s="72" t="s">
        <v>182</v>
      </c>
      <c r="E67" s="72" t="s">
        <v>183</v>
      </c>
      <c r="F67" s="72" t="s">
        <v>184</v>
      </c>
      <c r="G67" s="72" t="s">
        <v>185</v>
      </c>
      <c r="H67" s="72" t="s">
        <v>186</v>
      </c>
      <c r="I67" s="72" t="s">
        <v>187</v>
      </c>
      <c r="J67" s="72" t="s">
        <v>188</v>
      </c>
      <c r="K67" s="72" t="s">
        <v>189</v>
      </c>
      <c r="L67" s="72" t="s">
        <v>190</v>
      </c>
      <c r="M67" s="72" t="s">
        <v>191</v>
      </c>
      <c r="N67" s="72" t="s">
        <v>192</v>
      </c>
      <c r="O67" s="72" t="s">
        <v>193</v>
      </c>
    </row>
    <row r="68" spans="2:15" ht="18" customHeight="1" x14ac:dyDescent="0.25">
      <c r="B68" s="73" t="s">
        <v>107</v>
      </c>
      <c r="C68" s="73"/>
      <c r="D68" s="74">
        <v>127982</v>
      </c>
      <c r="E68" s="74">
        <v>70115</v>
      </c>
      <c r="F68" s="74">
        <v>49238</v>
      </c>
      <c r="G68" s="74">
        <v>61733</v>
      </c>
      <c r="H68" s="74">
        <v>39735</v>
      </c>
      <c r="I68" s="74">
        <v>15707</v>
      </c>
      <c r="J68" s="74">
        <v>13876</v>
      </c>
      <c r="K68" s="74">
        <v>11319</v>
      </c>
      <c r="L68" s="74">
        <v>6198</v>
      </c>
      <c r="M68" s="74">
        <v>4305</v>
      </c>
      <c r="N68" s="74">
        <v>0</v>
      </c>
      <c r="O68" s="74">
        <v>0</v>
      </c>
    </row>
    <row r="69" spans="2:15" ht="18" customHeight="1" x14ac:dyDescent="0.25">
      <c r="B69" s="75" t="s">
        <v>109</v>
      </c>
      <c r="C69" s="75"/>
      <c r="D69" s="76">
        <v>95732</v>
      </c>
      <c r="E69" s="76">
        <v>42954</v>
      </c>
      <c r="F69" s="76">
        <v>35853</v>
      </c>
      <c r="G69" s="76">
        <v>37440</v>
      </c>
      <c r="H69" s="76">
        <v>22858</v>
      </c>
      <c r="I69" s="76">
        <v>11630</v>
      </c>
      <c r="J69" s="76">
        <v>9805</v>
      </c>
      <c r="K69" s="76">
        <v>7615</v>
      </c>
      <c r="L69" s="76">
        <v>5675</v>
      </c>
      <c r="M69" s="76">
        <v>2386</v>
      </c>
      <c r="N69" s="76">
        <v>0</v>
      </c>
      <c r="O69" s="76">
        <v>0</v>
      </c>
    </row>
    <row r="70" spans="2:15" ht="18" customHeight="1" x14ac:dyDescent="0.25">
      <c r="B70" s="73" t="s">
        <v>110</v>
      </c>
      <c r="C70" s="73"/>
      <c r="D70" s="74">
        <v>57817</v>
      </c>
      <c r="E70" s="74">
        <v>25684</v>
      </c>
      <c r="F70" s="74">
        <v>20527</v>
      </c>
      <c r="G70" s="74">
        <v>15490</v>
      </c>
      <c r="H70" s="74">
        <v>13872</v>
      </c>
      <c r="I70" s="74">
        <v>6956</v>
      </c>
      <c r="J70" s="74">
        <v>4321</v>
      </c>
      <c r="K70" s="74">
        <v>4326</v>
      </c>
      <c r="L70" s="74">
        <v>1939</v>
      </c>
      <c r="M70" s="74">
        <v>750</v>
      </c>
      <c r="N70" s="74">
        <v>0</v>
      </c>
      <c r="O70" s="74">
        <v>0</v>
      </c>
    </row>
    <row r="71" spans="2:15" ht="18" customHeight="1" x14ac:dyDescent="0.25">
      <c r="B71" s="75" t="s">
        <v>111</v>
      </c>
      <c r="C71" s="75"/>
      <c r="D71" s="76">
        <v>35447</v>
      </c>
      <c r="E71" s="76">
        <v>25202</v>
      </c>
      <c r="F71" s="76">
        <v>22443</v>
      </c>
      <c r="G71" s="76">
        <v>17374</v>
      </c>
      <c r="H71" s="76">
        <v>12862</v>
      </c>
      <c r="I71" s="76">
        <v>6767</v>
      </c>
      <c r="J71" s="76">
        <v>6418</v>
      </c>
      <c r="K71" s="76">
        <v>4984</v>
      </c>
      <c r="L71" s="76">
        <v>3284</v>
      </c>
      <c r="M71" s="76">
        <v>5937</v>
      </c>
      <c r="N71" s="76">
        <v>0</v>
      </c>
      <c r="O71" s="76">
        <v>0</v>
      </c>
    </row>
    <row r="72" spans="2:15" ht="18" customHeight="1" x14ac:dyDescent="0.25">
      <c r="B72" s="73" t="s">
        <v>113</v>
      </c>
      <c r="C72" s="73"/>
      <c r="D72" s="74">
        <v>31056</v>
      </c>
      <c r="E72" s="74">
        <v>41254</v>
      </c>
      <c r="F72" s="74">
        <v>15924</v>
      </c>
      <c r="G72" s="74">
        <v>15965</v>
      </c>
      <c r="H72" s="74">
        <v>9990</v>
      </c>
      <c r="I72" s="74">
        <v>4295</v>
      </c>
      <c r="J72" s="74">
        <v>4417</v>
      </c>
      <c r="K72" s="74">
        <v>1875</v>
      </c>
      <c r="L72" s="74">
        <v>1611</v>
      </c>
      <c r="M72" s="74">
        <v>1025</v>
      </c>
      <c r="N72" s="74">
        <v>0</v>
      </c>
      <c r="O72" s="74">
        <v>0</v>
      </c>
    </row>
    <row r="73" spans="2:15" ht="18" customHeight="1" x14ac:dyDescent="0.25">
      <c r="B73" s="75" t="s">
        <v>114</v>
      </c>
      <c r="C73" s="75"/>
      <c r="D73" s="76">
        <v>25273</v>
      </c>
      <c r="E73" s="76">
        <v>13550</v>
      </c>
      <c r="F73" s="76">
        <v>19767</v>
      </c>
      <c r="G73" s="76">
        <v>11506</v>
      </c>
      <c r="H73" s="76">
        <v>4251</v>
      </c>
      <c r="I73" s="76">
        <v>8061</v>
      </c>
      <c r="J73" s="76">
        <v>2441</v>
      </c>
      <c r="K73" s="76">
        <v>1318</v>
      </c>
      <c r="L73" s="76">
        <v>957</v>
      </c>
      <c r="M73" s="76">
        <v>1127</v>
      </c>
      <c r="N73" s="76">
        <v>0</v>
      </c>
      <c r="O73" s="76">
        <v>0</v>
      </c>
    </row>
    <row r="74" spans="2:15" ht="18" customHeight="1" x14ac:dyDescent="0.25">
      <c r="B74" s="73" t="s">
        <v>116</v>
      </c>
      <c r="C74" s="73"/>
      <c r="D74" s="74">
        <v>21629</v>
      </c>
      <c r="E74" s="74">
        <v>13783</v>
      </c>
      <c r="F74" s="74">
        <v>13873</v>
      </c>
      <c r="G74" s="74">
        <v>11337</v>
      </c>
      <c r="H74" s="74">
        <v>4584</v>
      </c>
      <c r="I74" s="74">
        <v>9854</v>
      </c>
      <c r="J74" s="74">
        <v>3163</v>
      </c>
      <c r="K74" s="74">
        <v>2532</v>
      </c>
      <c r="L74" s="74">
        <v>2339</v>
      </c>
      <c r="M74" s="74">
        <v>1206</v>
      </c>
      <c r="N74" s="74">
        <v>0</v>
      </c>
      <c r="O74" s="74">
        <v>0</v>
      </c>
    </row>
    <row r="75" spans="2:15" ht="18" customHeight="1" x14ac:dyDescent="0.25">
      <c r="B75" s="75" t="s">
        <v>115</v>
      </c>
      <c r="C75" s="75"/>
      <c r="D75" s="76">
        <v>25114</v>
      </c>
      <c r="E75" s="76">
        <v>13498</v>
      </c>
      <c r="F75" s="76">
        <v>19078</v>
      </c>
      <c r="G75" s="76">
        <v>9094</v>
      </c>
      <c r="H75" s="76">
        <v>4912</v>
      </c>
      <c r="I75" s="76">
        <v>4291</v>
      </c>
      <c r="J75" s="76">
        <v>2546</v>
      </c>
      <c r="K75" s="76">
        <v>1121</v>
      </c>
      <c r="L75" s="76">
        <v>1135</v>
      </c>
      <c r="M75" s="76">
        <v>1453</v>
      </c>
      <c r="N75" s="76">
        <v>0</v>
      </c>
      <c r="O75" s="76">
        <v>0</v>
      </c>
    </row>
    <row r="76" spans="2:15" ht="18" customHeight="1" x14ac:dyDescent="0.25">
      <c r="B76" s="73" t="s">
        <v>118</v>
      </c>
      <c r="C76" s="73"/>
      <c r="D76" s="74">
        <v>21094</v>
      </c>
      <c r="E76" s="74">
        <v>12851</v>
      </c>
      <c r="F76" s="74">
        <v>15278</v>
      </c>
      <c r="G76" s="74">
        <v>10022</v>
      </c>
      <c r="H76" s="74">
        <v>4233</v>
      </c>
      <c r="I76" s="74">
        <v>4514</v>
      </c>
      <c r="J76" s="74">
        <v>2382</v>
      </c>
      <c r="K76" s="74">
        <v>1261</v>
      </c>
      <c r="L76" s="74">
        <v>1228</v>
      </c>
      <c r="M76" s="74">
        <v>1088</v>
      </c>
      <c r="N76" s="74">
        <v>0</v>
      </c>
      <c r="O76" s="74">
        <v>0</v>
      </c>
    </row>
    <row r="77" spans="2:15" ht="18" customHeight="1" x14ac:dyDescent="0.25">
      <c r="B77" s="75" t="s">
        <v>120</v>
      </c>
      <c r="C77" s="75"/>
      <c r="D77" s="76">
        <v>22479</v>
      </c>
      <c r="E77" s="76">
        <v>9500</v>
      </c>
      <c r="F77" s="76">
        <v>12546</v>
      </c>
      <c r="G77" s="76">
        <v>8270</v>
      </c>
      <c r="H77" s="76">
        <v>4010</v>
      </c>
      <c r="I77" s="76">
        <v>6335</v>
      </c>
      <c r="J77" s="76">
        <v>3362</v>
      </c>
      <c r="K77" s="76">
        <v>1411</v>
      </c>
      <c r="L77" s="76">
        <v>1288</v>
      </c>
      <c r="M77" s="76">
        <v>1650</v>
      </c>
      <c r="N77" s="76">
        <v>0</v>
      </c>
      <c r="O77" s="76">
        <v>0</v>
      </c>
    </row>
    <row r="78" spans="2:15" ht="18" customHeight="1" x14ac:dyDescent="0.25">
      <c r="B78" s="73" t="s">
        <v>127</v>
      </c>
      <c r="C78" s="73"/>
      <c r="D78" s="74">
        <v>19323</v>
      </c>
      <c r="E78" s="74">
        <v>8246</v>
      </c>
      <c r="F78" s="74">
        <v>8988</v>
      </c>
      <c r="G78" s="74">
        <v>12932</v>
      </c>
      <c r="H78" s="74">
        <v>6697</v>
      </c>
      <c r="I78" s="74">
        <v>3606</v>
      </c>
      <c r="J78" s="74">
        <v>2363</v>
      </c>
      <c r="K78" s="74">
        <v>3179</v>
      </c>
      <c r="L78" s="74">
        <v>2129</v>
      </c>
      <c r="M78" s="74">
        <v>2375</v>
      </c>
      <c r="N78" s="74">
        <v>0</v>
      </c>
      <c r="O78" s="74">
        <v>0</v>
      </c>
    </row>
    <row r="79" spans="2:15" ht="18" customHeight="1" x14ac:dyDescent="0.25">
      <c r="B79" s="75" t="s">
        <v>149</v>
      </c>
      <c r="C79" s="75"/>
      <c r="D79" s="76">
        <v>22822</v>
      </c>
      <c r="E79" s="76">
        <v>12016</v>
      </c>
      <c r="F79" s="76">
        <v>7061</v>
      </c>
      <c r="G79" s="76">
        <v>11411</v>
      </c>
      <c r="H79" s="76">
        <v>5832</v>
      </c>
      <c r="I79" s="76">
        <v>2774</v>
      </c>
      <c r="J79" s="76">
        <v>2533</v>
      </c>
      <c r="K79" s="76">
        <v>976</v>
      </c>
      <c r="L79" s="76">
        <v>990</v>
      </c>
      <c r="M79" s="76">
        <v>578</v>
      </c>
      <c r="N79" s="76">
        <v>0</v>
      </c>
      <c r="O79" s="76">
        <v>0</v>
      </c>
    </row>
    <row r="80" spans="2:15" ht="18" customHeight="1" x14ac:dyDescent="0.25">
      <c r="B80" s="73" t="s">
        <v>151</v>
      </c>
      <c r="C80" s="73"/>
      <c r="D80" s="74">
        <v>20072</v>
      </c>
      <c r="E80" s="74">
        <v>6789</v>
      </c>
      <c r="F80" s="74">
        <v>15919</v>
      </c>
      <c r="G80" s="74">
        <v>6998</v>
      </c>
      <c r="H80" s="74">
        <v>3559</v>
      </c>
      <c r="I80" s="74">
        <v>6324</v>
      </c>
      <c r="J80" s="74">
        <v>1840</v>
      </c>
      <c r="K80" s="74">
        <v>932</v>
      </c>
      <c r="L80" s="74">
        <v>1152</v>
      </c>
      <c r="M80" s="74">
        <v>1691</v>
      </c>
      <c r="N80" s="74">
        <v>0</v>
      </c>
      <c r="O80" s="74">
        <v>0</v>
      </c>
    </row>
    <row r="81" spans="2:15" ht="18" customHeight="1" x14ac:dyDescent="0.25">
      <c r="B81" s="75" t="s">
        <v>153</v>
      </c>
      <c r="C81" s="75"/>
      <c r="D81" s="76">
        <v>19839</v>
      </c>
      <c r="E81" s="76">
        <v>9334</v>
      </c>
      <c r="F81" s="76">
        <v>7379</v>
      </c>
      <c r="G81" s="76">
        <v>5409</v>
      </c>
      <c r="H81" s="76">
        <v>6068</v>
      </c>
      <c r="I81" s="76">
        <v>1509</v>
      </c>
      <c r="J81" s="76">
        <v>2313</v>
      </c>
      <c r="K81" s="76">
        <v>1372</v>
      </c>
      <c r="L81" s="76">
        <v>1130</v>
      </c>
      <c r="M81" s="76">
        <v>620</v>
      </c>
      <c r="N81" s="76">
        <v>0</v>
      </c>
      <c r="O81" s="76">
        <v>0</v>
      </c>
    </row>
    <row r="82" spans="2:15" ht="18" customHeight="1" x14ac:dyDescent="0.25">
      <c r="B82" s="73" t="s">
        <v>155</v>
      </c>
      <c r="C82" s="73"/>
      <c r="D82" s="74">
        <v>14191</v>
      </c>
      <c r="E82" s="74">
        <v>8043</v>
      </c>
      <c r="F82" s="74">
        <v>9578</v>
      </c>
      <c r="G82" s="74">
        <v>5863</v>
      </c>
      <c r="H82" s="74">
        <v>2458</v>
      </c>
      <c r="I82" s="74">
        <v>3333</v>
      </c>
      <c r="J82" s="74">
        <v>1792</v>
      </c>
      <c r="K82" s="74">
        <v>918</v>
      </c>
      <c r="L82" s="74">
        <v>1068</v>
      </c>
      <c r="M82" s="74">
        <v>700</v>
      </c>
      <c r="N82" s="74">
        <v>0</v>
      </c>
      <c r="O82" s="74">
        <v>0</v>
      </c>
    </row>
    <row r="83" spans="2:15" ht="18" customHeight="1" x14ac:dyDescent="0.25">
      <c r="B83" s="75" t="s">
        <v>157</v>
      </c>
      <c r="C83" s="75"/>
      <c r="D83" s="76">
        <v>9083</v>
      </c>
      <c r="E83" s="76">
        <v>14248</v>
      </c>
      <c r="F83" s="76">
        <v>4341</v>
      </c>
      <c r="G83" s="76">
        <v>8977</v>
      </c>
      <c r="H83" s="76">
        <v>3008</v>
      </c>
      <c r="I83" s="76">
        <v>2437</v>
      </c>
      <c r="J83" s="76">
        <v>1554</v>
      </c>
      <c r="K83" s="76">
        <v>602</v>
      </c>
      <c r="L83" s="76">
        <v>446</v>
      </c>
      <c r="M83" s="76">
        <v>122</v>
      </c>
      <c r="N83" s="76">
        <v>0</v>
      </c>
      <c r="O83" s="76">
        <v>0</v>
      </c>
    </row>
    <row r="84" spans="2:15" ht="18" customHeight="1" x14ac:dyDescent="0.25">
      <c r="B84" s="73" t="s">
        <v>160</v>
      </c>
      <c r="C84" s="73"/>
      <c r="D84" s="74">
        <v>11086</v>
      </c>
      <c r="E84" s="74">
        <v>3997</v>
      </c>
      <c r="F84" s="74">
        <v>6080</v>
      </c>
      <c r="G84" s="74">
        <v>5030</v>
      </c>
      <c r="H84" s="74">
        <v>2119</v>
      </c>
      <c r="I84" s="74">
        <v>5018</v>
      </c>
      <c r="J84" s="74">
        <v>1439</v>
      </c>
      <c r="K84" s="74">
        <v>867</v>
      </c>
      <c r="L84" s="74">
        <v>872</v>
      </c>
      <c r="M84" s="74">
        <v>264</v>
      </c>
      <c r="N84" s="74">
        <v>0</v>
      </c>
      <c r="O84" s="74">
        <v>0</v>
      </c>
    </row>
    <row r="85" spans="2:15" ht="18" customHeight="1" x14ac:dyDescent="0.25">
      <c r="B85" s="75" t="s">
        <v>162</v>
      </c>
      <c r="C85" s="75"/>
      <c r="D85" s="76">
        <v>8149</v>
      </c>
      <c r="E85" s="76">
        <v>9198</v>
      </c>
      <c r="F85" s="76">
        <v>4088</v>
      </c>
      <c r="G85" s="76">
        <v>4490</v>
      </c>
      <c r="H85" s="76">
        <v>3353</v>
      </c>
      <c r="I85" s="76">
        <v>2641</v>
      </c>
      <c r="J85" s="76">
        <v>1362</v>
      </c>
      <c r="K85" s="76">
        <v>1041</v>
      </c>
      <c r="L85" s="76">
        <v>637</v>
      </c>
      <c r="M85" s="76">
        <v>692</v>
      </c>
      <c r="N85" s="76">
        <v>0</v>
      </c>
      <c r="O85" s="76">
        <v>0</v>
      </c>
    </row>
    <row r="86" spans="2:15" ht="18" customHeight="1" x14ac:dyDescent="0.25">
      <c r="B86" s="73" t="s">
        <v>164</v>
      </c>
      <c r="C86" s="73"/>
      <c r="D86" s="74">
        <v>6640</v>
      </c>
      <c r="E86" s="74">
        <v>8623</v>
      </c>
      <c r="F86" s="74">
        <v>3032</v>
      </c>
      <c r="G86" s="74">
        <v>4833</v>
      </c>
      <c r="H86" s="74">
        <v>3034</v>
      </c>
      <c r="I86" s="74">
        <v>1782</v>
      </c>
      <c r="J86" s="74">
        <v>1209</v>
      </c>
      <c r="K86" s="74">
        <v>480</v>
      </c>
      <c r="L86" s="74">
        <v>659</v>
      </c>
      <c r="M86" s="74">
        <v>183</v>
      </c>
      <c r="N86" s="74">
        <v>0</v>
      </c>
      <c r="O86" s="74">
        <v>0</v>
      </c>
    </row>
    <row r="87" spans="2:15" ht="18" customHeight="1" x14ac:dyDescent="0.25">
      <c r="B87" s="75" t="s">
        <v>166</v>
      </c>
      <c r="C87" s="75"/>
      <c r="D87" s="76">
        <v>9216</v>
      </c>
      <c r="E87" s="76">
        <v>3527</v>
      </c>
      <c r="F87" s="76">
        <v>5496</v>
      </c>
      <c r="G87" s="76">
        <v>2667</v>
      </c>
      <c r="H87" s="76">
        <v>1628</v>
      </c>
      <c r="I87" s="76">
        <v>2312</v>
      </c>
      <c r="J87" s="76">
        <v>859</v>
      </c>
      <c r="K87" s="76">
        <v>414</v>
      </c>
      <c r="L87" s="76">
        <v>540</v>
      </c>
      <c r="M87" s="76">
        <v>772</v>
      </c>
      <c r="N87" s="76">
        <v>0</v>
      </c>
      <c r="O87" s="76">
        <v>0</v>
      </c>
    </row>
    <row r="88" spans="2:15" ht="18" customHeight="1" x14ac:dyDescent="0.25">
      <c r="B88" s="73" t="s">
        <v>168</v>
      </c>
      <c r="C88" s="73"/>
      <c r="D88" s="74">
        <v>7245</v>
      </c>
      <c r="E88" s="74">
        <v>5981</v>
      </c>
      <c r="F88" s="74">
        <v>2839</v>
      </c>
      <c r="G88" s="74">
        <v>2496</v>
      </c>
      <c r="H88" s="74">
        <v>2384</v>
      </c>
      <c r="I88" s="74">
        <v>1825</v>
      </c>
      <c r="J88" s="74">
        <v>1192</v>
      </c>
      <c r="K88" s="74">
        <v>533</v>
      </c>
      <c r="L88" s="74">
        <v>569</v>
      </c>
      <c r="M88" s="74">
        <v>141</v>
      </c>
      <c r="N88" s="74">
        <v>0</v>
      </c>
      <c r="O88" s="74">
        <v>0</v>
      </c>
    </row>
    <row r="89" spans="2:15" ht="18" customHeight="1" x14ac:dyDescent="0.25">
      <c r="B89" s="75" t="s">
        <v>170</v>
      </c>
      <c r="C89" s="75"/>
      <c r="D89" s="76">
        <v>3534</v>
      </c>
      <c r="E89" s="76">
        <v>5166</v>
      </c>
      <c r="F89" s="76">
        <v>2041</v>
      </c>
      <c r="G89" s="76">
        <v>3011</v>
      </c>
      <c r="H89" s="76">
        <v>1831</v>
      </c>
      <c r="I89" s="76">
        <v>784</v>
      </c>
      <c r="J89" s="76">
        <v>676</v>
      </c>
      <c r="K89" s="76">
        <v>576</v>
      </c>
      <c r="L89" s="76">
        <v>477</v>
      </c>
      <c r="M89" s="76">
        <v>210</v>
      </c>
      <c r="N89" s="76">
        <v>0</v>
      </c>
      <c r="O89" s="76">
        <v>0</v>
      </c>
    </row>
    <row r="90" spans="2:15" ht="18" customHeight="1" x14ac:dyDescent="0.25">
      <c r="B90" s="73" t="s">
        <v>172</v>
      </c>
      <c r="C90" s="73"/>
      <c r="D90" s="74">
        <v>4096</v>
      </c>
      <c r="E90" s="74">
        <v>3388</v>
      </c>
      <c r="F90" s="74">
        <v>2357</v>
      </c>
      <c r="G90" s="74">
        <v>2298</v>
      </c>
      <c r="H90" s="74">
        <v>1604</v>
      </c>
      <c r="I90" s="74">
        <v>1748</v>
      </c>
      <c r="J90" s="74">
        <v>818</v>
      </c>
      <c r="K90" s="74">
        <v>447</v>
      </c>
      <c r="L90" s="74">
        <v>656</v>
      </c>
      <c r="M90" s="74">
        <v>229</v>
      </c>
      <c r="N90" s="74">
        <v>0</v>
      </c>
      <c r="O90" s="74">
        <v>0</v>
      </c>
    </row>
    <row r="91" spans="2:15" ht="18" customHeight="1" x14ac:dyDescent="0.25">
      <c r="B91" s="75" t="s">
        <v>174</v>
      </c>
      <c r="C91" s="75"/>
      <c r="D91" s="76">
        <v>60</v>
      </c>
      <c r="E91" s="76">
        <v>160</v>
      </c>
      <c r="F91" s="76">
        <v>14</v>
      </c>
      <c r="G91" s="76">
        <v>329</v>
      </c>
      <c r="H91" s="76">
        <v>85</v>
      </c>
      <c r="I91" s="76">
        <v>194</v>
      </c>
      <c r="J91" s="76">
        <v>8</v>
      </c>
      <c r="K91" s="76">
        <v>30</v>
      </c>
      <c r="L91" s="76">
        <v>60</v>
      </c>
      <c r="M91" s="76">
        <v>24</v>
      </c>
      <c r="N91" s="76">
        <v>0</v>
      </c>
      <c r="O91" s="76">
        <v>0</v>
      </c>
    </row>
    <row r="92" spans="2:15" ht="18" customHeight="1" x14ac:dyDescent="0.25">
      <c r="B92" s="73" t="s">
        <v>177</v>
      </c>
      <c r="C92" s="73"/>
      <c r="D92" s="74">
        <v>94</v>
      </c>
      <c r="E92" s="74">
        <v>182</v>
      </c>
      <c r="F92" s="74">
        <v>105</v>
      </c>
      <c r="G92" s="77"/>
      <c r="H92" s="74">
        <v>16</v>
      </c>
      <c r="I92" s="77"/>
      <c r="J92" s="74">
        <v>11</v>
      </c>
      <c r="K92" s="74">
        <v>0</v>
      </c>
      <c r="L92" s="77"/>
      <c r="M92" s="77"/>
      <c r="N92" s="74">
        <v>0</v>
      </c>
      <c r="O92" s="74">
        <v>0</v>
      </c>
    </row>
    <row r="94" spans="2:15" ht="22" customHeight="1" x14ac:dyDescent="0.25">
      <c r="B94" s="70" t="s">
        <v>194</v>
      </c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</row>
    <row r="95" spans="2:15" ht="22" customHeight="1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</row>
  </sheetData>
  <mergeCells count="40">
    <mergeCell ref="I10:N1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I22:N24"/>
    <mergeCell ref="B64:O6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4:O95"/>
  </mergeCells>
  <conditionalFormatting sqref="D68:O92">
    <cfRule type="colorScale" priority="5">
      <colorScale>
        <cfvo type="min" val="0"/>
        <cfvo type="percentile" val="60"/>
        <cfvo type="max" val="0"/>
        <color rgb="FFFFFFFF"/>
        <color rgb="FFD8D0F4"/>
        <color rgb="FFA995E0"/>
      </colorScale>
    </cfRule>
  </conditionalFormatting>
  <conditionalFormatting sqref="H37:H61">
    <cfRule type="colorScale" priority="2">
      <colorScale>
        <cfvo type="min" val="0"/>
        <cfvo type="max" val="0"/>
        <color rgb="FFFFFFFF"/>
        <color rgb="FFA995E0"/>
      </colorScale>
    </cfRule>
  </conditionalFormatting>
  <conditionalFormatting sqref="I37:I61">
    <cfRule type="dataBar" priority="3">
      <dataBar>
        <cfvo type="num" val="0"/>
        <cfvo type="max"/>
        <color rgb="FFA995E0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J37:J61">
    <cfRule type="colorScale" priority="4">
      <colorScale>
        <cfvo type="min" val="0"/>
        <cfvo type="max" val="0"/>
        <color rgb="FFFFFFFF"/>
        <color rgb="FFF9E2A0"/>
      </colorScale>
    </cfRule>
  </conditionalFormatting>
  <conditionalFormatting sqref="N11:N20">
    <cfRule type="dataBar" priority="1">
      <dataBar>
        <cfvo type="num" val="0"/>
        <cfvo type="max"/>
        <color rgb="FFA995E0"/>
      </dataBar>
      <extLst>
        <ext xmlns:x14="http://schemas.microsoft.com/office/spreadsheetml/2009/9/main" uri="{B025F937-C7B1-47D3-B67F-A62EFF666E3E}">
          <x14:id>{DA7ABA51-AAAA-BBBB-0005-000000000002}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Estadística institucional&amp;C&amp;"Calibri,Regular"&amp;8&amp;K5A5765Página &amp;P de &amp;N&amp;R&amp;"Calibri,Regular"&amp;8&amp;K5A5765Selección a08650cd76fc</oddFooter>
  </headerFooter>
  <rowBreaks count="2" manualBreakCount="2">
    <brk id="34" max="16383" man="1"/>
    <brk id="65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I37:I61</xm:sqref>
        </x14:conditionalFormatting>
        <x14:conditionalFormatting xmlns:xm="http://schemas.microsoft.com/office/excel/2006/main">
          <x14:cfRule type="dataBar" id="{DA7ABA51-AAAA-BBBB-0005-000000000002}">
            <x14:dataBar minLength="0" maxLength="100"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N11:N20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995E0"/>
    <pageSetUpPr fitToPage="1"/>
  </sheetPr>
  <dimension ref="A1:N305"/>
  <sheetViews>
    <sheetView showGridLines="0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RowHeight="15" x14ac:dyDescent="0.25"/>
  <cols>
    <col min="1" max="1" width="3.140625" customWidth="1"/>
    <col min="2" max="2" width="26.7109375" customWidth="1"/>
    <col min="3" max="3" width="11.7109375" customWidth="1"/>
    <col min="4" max="4" width="38.7109375" customWidth="1"/>
    <col min="5" max="5" width="10.7109375" customWidth="1"/>
    <col min="6" max="6" width="30.7109375" customWidth="1"/>
    <col min="7" max="7" width="13.7109375" customWidth="1"/>
    <col min="8" max="8" width="15.7109375" customWidth="1"/>
    <col min="9" max="9" width="13.7109375" customWidth="1"/>
    <col min="10" max="13" width="18.28515625" customWidth="1"/>
    <col min="14" max="14" width="3.140625" customWidth="1"/>
  </cols>
  <sheetData>
    <row r="1" spans="1:14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2" customHeight="1" x14ac:dyDescent="0.25">
      <c r="A2" s="1"/>
      <c r="B2" s="78" t="s">
        <v>195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0" customHeight="1" x14ac:dyDescent="0.25">
      <c r="A3" s="1"/>
      <c r="B3" s="26" t="s">
        <v>196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0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7" spans="1:14" ht="24" customHeight="1" x14ac:dyDescent="0.25">
      <c r="B7" s="44" t="s">
        <v>197</v>
      </c>
      <c r="C7" s="44"/>
      <c r="D7" s="44"/>
      <c r="E7" s="44"/>
      <c r="F7" s="44"/>
      <c r="G7" s="44"/>
      <c r="H7" s="46">
        <f>SUBTOTAL(109,H10:H305)</f>
        <v>2034258</v>
      </c>
      <c r="I7" s="46">
        <f>SUBTOTAL(109,I10:I305)</f>
        <v>11158</v>
      </c>
      <c r="J7" s="56">
        <f>SUBTOTAL(109,J10:J305)</f>
        <v>1180002196.4343</v>
      </c>
      <c r="K7" s="56">
        <f>SUBTOTAL(109,K10:K305)</f>
        <v>3332400360.697601</v>
      </c>
      <c r="L7" s="56">
        <f>SUBTOTAL(109,L10:L305)</f>
        <v>4512402557.131901</v>
      </c>
      <c r="M7" s="57" t="s">
        <v>64</v>
      </c>
    </row>
    <row r="8" spans="1:14" ht="6" customHeight="1" x14ac:dyDescent="0.25"/>
    <row r="9" spans="1:14" ht="38" customHeight="1" x14ac:dyDescent="0.25">
      <c r="B9" s="29" t="s">
        <v>57</v>
      </c>
      <c r="C9" s="39" t="s">
        <v>198</v>
      </c>
      <c r="D9" s="39" t="s">
        <v>67</v>
      </c>
      <c r="E9" s="39" t="s">
        <v>199</v>
      </c>
      <c r="F9" s="39" t="s">
        <v>105</v>
      </c>
      <c r="G9" s="39" t="s">
        <v>106</v>
      </c>
      <c r="H9" s="30" t="s">
        <v>59</v>
      </c>
      <c r="I9" s="30" t="s">
        <v>11</v>
      </c>
      <c r="J9" s="30" t="s">
        <v>200</v>
      </c>
      <c r="K9" s="30" t="s">
        <v>201</v>
      </c>
      <c r="L9" s="30" t="s">
        <v>202</v>
      </c>
      <c r="M9" s="30" t="s">
        <v>203</v>
      </c>
    </row>
    <row r="10" spans="1:14" ht="18" customHeight="1" x14ac:dyDescent="0.25">
      <c r="B10" s="79" t="s">
        <v>21</v>
      </c>
      <c r="C10" s="40" t="s">
        <v>204</v>
      </c>
      <c r="D10" s="31" t="s">
        <v>73</v>
      </c>
      <c r="E10" s="40" t="s">
        <v>146</v>
      </c>
      <c r="F10" s="79" t="s">
        <v>120</v>
      </c>
      <c r="G10" s="40" t="s">
        <v>112</v>
      </c>
      <c r="H10" s="32">
        <v>4010</v>
      </c>
      <c r="I10" s="33" t="s">
        <v>63</v>
      </c>
      <c r="J10" s="53">
        <v>2058406.032</v>
      </c>
      <c r="K10" s="53">
        <v>4636336.997436</v>
      </c>
      <c r="L10" s="53">
        <v>6694743.029436</v>
      </c>
      <c r="M10" s="33" t="s">
        <v>64</v>
      </c>
    </row>
    <row r="11" spans="1:14" ht="18" customHeight="1" x14ac:dyDescent="0.25">
      <c r="B11" s="80" t="s">
        <v>21</v>
      </c>
      <c r="C11" s="42" t="s">
        <v>204</v>
      </c>
      <c r="D11" s="35" t="s">
        <v>73</v>
      </c>
      <c r="E11" s="42" t="s">
        <v>154</v>
      </c>
      <c r="F11" s="80" t="s">
        <v>155</v>
      </c>
      <c r="G11" s="42" t="s">
        <v>112</v>
      </c>
      <c r="H11" s="36">
        <v>2458</v>
      </c>
      <c r="I11" s="38" t="s">
        <v>63</v>
      </c>
      <c r="J11" s="55">
        <v>1261736.161</v>
      </c>
      <c r="K11" s="55">
        <v>2742797.245499</v>
      </c>
      <c r="L11" s="55">
        <v>4004533.406499</v>
      </c>
      <c r="M11" s="38" t="s">
        <v>64</v>
      </c>
    </row>
    <row r="12" spans="1:14" ht="18" customHeight="1" x14ac:dyDescent="0.25">
      <c r="B12" s="79" t="s">
        <v>21</v>
      </c>
      <c r="C12" s="40" t="s">
        <v>204</v>
      </c>
      <c r="D12" s="31" t="s">
        <v>73</v>
      </c>
      <c r="E12" s="40" t="s">
        <v>159</v>
      </c>
      <c r="F12" s="79" t="s">
        <v>160</v>
      </c>
      <c r="G12" s="40" t="s">
        <v>112</v>
      </c>
      <c r="H12" s="32">
        <v>2119</v>
      </c>
      <c r="I12" s="33" t="s">
        <v>63</v>
      </c>
      <c r="J12" s="53">
        <v>1087721.289</v>
      </c>
      <c r="K12" s="53">
        <v>2226396.65992</v>
      </c>
      <c r="L12" s="53">
        <v>3314117.94892</v>
      </c>
      <c r="M12" s="33" t="s">
        <v>64</v>
      </c>
    </row>
    <row r="13" spans="1:14" ht="18" customHeight="1" x14ac:dyDescent="0.25">
      <c r="B13" s="80" t="s">
        <v>21</v>
      </c>
      <c r="C13" s="42" t="s">
        <v>204</v>
      </c>
      <c r="D13" s="35" t="s">
        <v>73</v>
      </c>
      <c r="E13" s="42" t="s">
        <v>165</v>
      </c>
      <c r="F13" s="80" t="s">
        <v>166</v>
      </c>
      <c r="G13" s="42" t="s">
        <v>112</v>
      </c>
      <c r="H13" s="36">
        <v>1628</v>
      </c>
      <c r="I13" s="38" t="s">
        <v>63</v>
      </c>
      <c r="J13" s="55">
        <v>835682.046</v>
      </c>
      <c r="K13" s="55">
        <v>1716443.529333</v>
      </c>
      <c r="L13" s="55">
        <v>2552125.575333</v>
      </c>
      <c r="M13" s="38" t="s">
        <v>64</v>
      </c>
    </row>
    <row r="14" spans="1:14" ht="18" customHeight="1" x14ac:dyDescent="0.25">
      <c r="B14" s="79" t="s">
        <v>21</v>
      </c>
      <c r="C14" s="40" t="s">
        <v>204</v>
      </c>
      <c r="D14" s="31" t="s">
        <v>73</v>
      </c>
      <c r="E14" s="40" t="s">
        <v>145</v>
      </c>
      <c r="F14" s="79" t="s">
        <v>115</v>
      </c>
      <c r="G14" s="40" t="s">
        <v>112</v>
      </c>
      <c r="H14" s="32">
        <v>4912</v>
      </c>
      <c r="I14" s="33" t="s">
        <v>63</v>
      </c>
      <c r="J14" s="53">
        <v>2521419.055</v>
      </c>
      <c r="K14" s="53">
        <v>5653607.677671</v>
      </c>
      <c r="L14" s="53">
        <v>8175026.732671</v>
      </c>
      <c r="M14" s="33" t="s">
        <v>64</v>
      </c>
    </row>
    <row r="15" spans="1:14" ht="18" customHeight="1" x14ac:dyDescent="0.25">
      <c r="B15" s="80" t="s">
        <v>21</v>
      </c>
      <c r="C15" s="42" t="s">
        <v>204</v>
      </c>
      <c r="D15" s="35" t="s">
        <v>73</v>
      </c>
      <c r="E15" s="42" t="s">
        <v>143</v>
      </c>
      <c r="F15" s="80" t="s">
        <v>114</v>
      </c>
      <c r="G15" s="42" t="s">
        <v>112</v>
      </c>
      <c r="H15" s="36">
        <v>4251</v>
      </c>
      <c r="I15" s="38" t="s">
        <v>63</v>
      </c>
      <c r="J15" s="55">
        <v>2182115.714</v>
      </c>
      <c r="K15" s="55">
        <v>4622840.962934</v>
      </c>
      <c r="L15" s="55">
        <v>6804956.676934</v>
      </c>
      <c r="M15" s="38" t="s">
        <v>64</v>
      </c>
    </row>
    <row r="16" spans="1:14" ht="18" customHeight="1" x14ac:dyDescent="0.25">
      <c r="B16" s="79" t="s">
        <v>21</v>
      </c>
      <c r="C16" s="40" t="s">
        <v>204</v>
      </c>
      <c r="D16" s="31" t="s">
        <v>73</v>
      </c>
      <c r="E16" s="40" t="s">
        <v>147</v>
      </c>
      <c r="F16" s="79" t="s">
        <v>127</v>
      </c>
      <c r="G16" s="40" t="s">
        <v>108</v>
      </c>
      <c r="H16" s="32">
        <v>6697</v>
      </c>
      <c r="I16" s="33" t="s">
        <v>63</v>
      </c>
      <c r="J16" s="53">
        <v>3437692.058</v>
      </c>
      <c r="K16" s="53">
        <v>6658802.722745</v>
      </c>
      <c r="L16" s="53">
        <v>10096494.780745</v>
      </c>
      <c r="M16" s="33" t="s">
        <v>64</v>
      </c>
    </row>
    <row r="17" spans="2:13" ht="18" customHeight="1" x14ac:dyDescent="0.25">
      <c r="B17" s="80" t="s">
        <v>21</v>
      </c>
      <c r="C17" s="42" t="s">
        <v>204</v>
      </c>
      <c r="D17" s="35" t="s">
        <v>73</v>
      </c>
      <c r="E17" s="42" t="s">
        <v>142</v>
      </c>
      <c r="F17" s="80" t="s">
        <v>113</v>
      </c>
      <c r="G17" s="42" t="s">
        <v>108</v>
      </c>
      <c r="H17" s="36">
        <v>9990</v>
      </c>
      <c r="I17" s="38" t="s">
        <v>63</v>
      </c>
      <c r="J17" s="55">
        <v>5128048.932</v>
      </c>
      <c r="K17" s="55">
        <v>10845858.731547</v>
      </c>
      <c r="L17" s="55">
        <v>15973907.663547</v>
      </c>
      <c r="M17" s="38" t="s">
        <v>64</v>
      </c>
    </row>
    <row r="18" spans="2:13" ht="18" customHeight="1" x14ac:dyDescent="0.25">
      <c r="B18" s="79" t="s">
        <v>21</v>
      </c>
      <c r="C18" s="40" t="s">
        <v>204</v>
      </c>
      <c r="D18" s="31" t="s">
        <v>73</v>
      </c>
      <c r="E18" s="40" t="s">
        <v>138</v>
      </c>
      <c r="F18" s="79" t="s">
        <v>107</v>
      </c>
      <c r="G18" s="40" t="s">
        <v>108</v>
      </c>
      <c r="H18" s="32">
        <v>39735</v>
      </c>
      <c r="I18" s="33" t="s">
        <v>63</v>
      </c>
      <c r="J18" s="53">
        <v>20396699.132</v>
      </c>
      <c r="K18" s="53">
        <v>43403265.904554</v>
      </c>
      <c r="L18" s="53">
        <v>63799965.036554</v>
      </c>
      <c r="M18" s="33" t="s">
        <v>64</v>
      </c>
    </row>
    <row r="19" spans="2:13" ht="18" customHeight="1" x14ac:dyDescent="0.25">
      <c r="B19" s="80" t="s">
        <v>21</v>
      </c>
      <c r="C19" s="42" t="s">
        <v>204</v>
      </c>
      <c r="D19" s="35" t="s">
        <v>73</v>
      </c>
      <c r="E19" s="42" t="s">
        <v>119</v>
      </c>
      <c r="F19" s="80" t="s">
        <v>118</v>
      </c>
      <c r="G19" s="42" t="s">
        <v>112</v>
      </c>
      <c r="H19" s="36">
        <v>4233</v>
      </c>
      <c r="I19" s="38" t="s">
        <v>63</v>
      </c>
      <c r="J19" s="55">
        <v>2172875.989</v>
      </c>
      <c r="K19" s="55">
        <v>4709204.846317</v>
      </c>
      <c r="L19" s="55">
        <v>6882080.835317</v>
      </c>
      <c r="M19" s="38" t="s">
        <v>64</v>
      </c>
    </row>
    <row r="20" spans="2:13" ht="18" customHeight="1" x14ac:dyDescent="0.25">
      <c r="B20" s="79" t="s">
        <v>21</v>
      </c>
      <c r="C20" s="40" t="s">
        <v>204</v>
      </c>
      <c r="D20" s="31" t="s">
        <v>73</v>
      </c>
      <c r="E20" s="40" t="s">
        <v>144</v>
      </c>
      <c r="F20" s="79" t="s">
        <v>116</v>
      </c>
      <c r="G20" s="40" t="s">
        <v>112</v>
      </c>
      <c r="H20" s="32">
        <v>4584</v>
      </c>
      <c r="I20" s="33" t="s">
        <v>63</v>
      </c>
      <c r="J20" s="53">
        <v>2353050.681</v>
      </c>
      <c r="K20" s="53">
        <v>5021243.269642</v>
      </c>
      <c r="L20" s="53">
        <v>7374293.950642</v>
      </c>
      <c r="M20" s="33" t="s">
        <v>64</v>
      </c>
    </row>
    <row r="21" spans="2:13" ht="18" customHeight="1" x14ac:dyDescent="0.25">
      <c r="B21" s="80" t="s">
        <v>21</v>
      </c>
      <c r="C21" s="42" t="s">
        <v>204</v>
      </c>
      <c r="D21" s="35" t="s">
        <v>73</v>
      </c>
      <c r="E21" s="42" t="s">
        <v>140</v>
      </c>
      <c r="F21" s="80" t="s">
        <v>110</v>
      </c>
      <c r="G21" s="42" t="s">
        <v>108</v>
      </c>
      <c r="H21" s="36">
        <v>13872</v>
      </c>
      <c r="I21" s="38" t="s">
        <v>63</v>
      </c>
      <c r="J21" s="55">
        <v>7120750.23</v>
      </c>
      <c r="K21" s="55">
        <v>14855782.368556</v>
      </c>
      <c r="L21" s="55">
        <v>21976532.598556</v>
      </c>
      <c r="M21" s="38" t="s">
        <v>64</v>
      </c>
    </row>
    <row r="22" spans="2:13" ht="18" customHeight="1" x14ac:dyDescent="0.25">
      <c r="B22" s="79" t="s">
        <v>21</v>
      </c>
      <c r="C22" s="40" t="s">
        <v>204</v>
      </c>
      <c r="D22" s="31" t="s">
        <v>73</v>
      </c>
      <c r="E22" s="40" t="s">
        <v>139</v>
      </c>
      <c r="F22" s="79" t="s">
        <v>109</v>
      </c>
      <c r="G22" s="40" t="s">
        <v>108</v>
      </c>
      <c r="H22" s="32">
        <v>22858</v>
      </c>
      <c r="I22" s="33" t="s">
        <v>63</v>
      </c>
      <c r="J22" s="53">
        <v>11733427.679</v>
      </c>
      <c r="K22" s="53">
        <v>23512368.833607</v>
      </c>
      <c r="L22" s="53">
        <v>35245796.512607</v>
      </c>
      <c r="M22" s="33" t="s">
        <v>64</v>
      </c>
    </row>
    <row r="23" spans="2:13" ht="18" customHeight="1" x14ac:dyDescent="0.25">
      <c r="B23" s="80" t="s">
        <v>21</v>
      </c>
      <c r="C23" s="42" t="s">
        <v>204</v>
      </c>
      <c r="D23" s="35" t="s">
        <v>73</v>
      </c>
      <c r="E23" s="42" t="s">
        <v>156</v>
      </c>
      <c r="F23" s="80" t="s">
        <v>157</v>
      </c>
      <c r="G23" s="42" t="s">
        <v>158</v>
      </c>
      <c r="H23" s="36">
        <v>3008</v>
      </c>
      <c r="I23" s="38" t="s">
        <v>63</v>
      </c>
      <c r="J23" s="55">
        <v>1544061.182</v>
      </c>
      <c r="K23" s="55">
        <v>3600665.561539</v>
      </c>
      <c r="L23" s="55">
        <v>5144726.743539</v>
      </c>
      <c r="M23" s="38" t="s">
        <v>64</v>
      </c>
    </row>
    <row r="24" spans="2:13" ht="18" customHeight="1" x14ac:dyDescent="0.25">
      <c r="B24" s="79" t="s">
        <v>21</v>
      </c>
      <c r="C24" s="40" t="s">
        <v>204</v>
      </c>
      <c r="D24" s="31" t="s">
        <v>73</v>
      </c>
      <c r="E24" s="40" t="s">
        <v>167</v>
      </c>
      <c r="F24" s="79" t="s">
        <v>168</v>
      </c>
      <c r="G24" s="40" t="s">
        <v>158</v>
      </c>
      <c r="H24" s="32">
        <v>2384</v>
      </c>
      <c r="I24" s="33" t="s">
        <v>63</v>
      </c>
      <c r="J24" s="53">
        <v>1223750.616</v>
      </c>
      <c r="K24" s="53">
        <v>3317835.101417</v>
      </c>
      <c r="L24" s="53">
        <v>4541585.717417</v>
      </c>
      <c r="M24" s="33" t="s">
        <v>64</v>
      </c>
    </row>
    <row r="25" spans="2:13" ht="18" customHeight="1" x14ac:dyDescent="0.25">
      <c r="B25" s="80" t="s">
        <v>21</v>
      </c>
      <c r="C25" s="42" t="s">
        <v>204</v>
      </c>
      <c r="D25" s="35" t="s">
        <v>73</v>
      </c>
      <c r="E25" s="42" t="s">
        <v>169</v>
      </c>
      <c r="F25" s="80" t="s">
        <v>170</v>
      </c>
      <c r="G25" s="42" t="s">
        <v>158</v>
      </c>
      <c r="H25" s="36">
        <v>1831</v>
      </c>
      <c r="I25" s="38" t="s">
        <v>63</v>
      </c>
      <c r="J25" s="55">
        <v>939885.645</v>
      </c>
      <c r="K25" s="55">
        <v>2232967.563416</v>
      </c>
      <c r="L25" s="55">
        <v>3172853.208416</v>
      </c>
      <c r="M25" s="38" t="s">
        <v>64</v>
      </c>
    </row>
    <row r="26" spans="2:13" ht="18" customHeight="1" x14ac:dyDescent="0.25">
      <c r="B26" s="79" t="s">
        <v>21</v>
      </c>
      <c r="C26" s="40" t="s">
        <v>204</v>
      </c>
      <c r="D26" s="31" t="s">
        <v>73</v>
      </c>
      <c r="E26" s="40" t="s">
        <v>141</v>
      </c>
      <c r="F26" s="79" t="s">
        <v>111</v>
      </c>
      <c r="G26" s="40" t="s">
        <v>112</v>
      </c>
      <c r="H26" s="32">
        <v>12862</v>
      </c>
      <c r="I26" s="33" t="s">
        <v>63</v>
      </c>
      <c r="J26" s="53">
        <v>6602298.84</v>
      </c>
      <c r="K26" s="53">
        <v>14410755.825078</v>
      </c>
      <c r="L26" s="53">
        <v>21013054.665078</v>
      </c>
      <c r="M26" s="33" t="s">
        <v>64</v>
      </c>
    </row>
    <row r="27" spans="2:13" ht="18" customHeight="1" x14ac:dyDescent="0.25">
      <c r="B27" s="80" t="s">
        <v>21</v>
      </c>
      <c r="C27" s="42" t="s">
        <v>204</v>
      </c>
      <c r="D27" s="35" t="s">
        <v>73</v>
      </c>
      <c r="E27" s="42" t="s">
        <v>150</v>
      </c>
      <c r="F27" s="80" t="s">
        <v>151</v>
      </c>
      <c r="G27" s="42" t="s">
        <v>112</v>
      </c>
      <c r="H27" s="36">
        <v>3559</v>
      </c>
      <c r="I27" s="38" t="s">
        <v>63</v>
      </c>
      <c r="J27" s="55">
        <v>1826899.516</v>
      </c>
      <c r="K27" s="55">
        <v>3910753.841332</v>
      </c>
      <c r="L27" s="55">
        <v>5737653.357332</v>
      </c>
      <c r="M27" s="38" t="s">
        <v>64</v>
      </c>
    </row>
    <row r="28" spans="2:13" ht="18" customHeight="1" x14ac:dyDescent="0.25">
      <c r="B28" s="79" t="s">
        <v>21</v>
      </c>
      <c r="C28" s="40" t="s">
        <v>204</v>
      </c>
      <c r="D28" s="31" t="s">
        <v>73</v>
      </c>
      <c r="E28" s="40" t="s">
        <v>171</v>
      </c>
      <c r="F28" s="79" t="s">
        <v>172</v>
      </c>
      <c r="G28" s="40" t="s">
        <v>158</v>
      </c>
      <c r="H28" s="32">
        <v>1604</v>
      </c>
      <c r="I28" s="33" t="s">
        <v>63</v>
      </c>
      <c r="J28" s="53">
        <v>823362.409</v>
      </c>
      <c r="K28" s="53">
        <v>1931900.237263</v>
      </c>
      <c r="L28" s="53">
        <v>2755262.646263</v>
      </c>
      <c r="M28" s="33" t="s">
        <v>64</v>
      </c>
    </row>
    <row r="29" spans="2:13" ht="18" customHeight="1" x14ac:dyDescent="0.25">
      <c r="B29" s="80" t="s">
        <v>21</v>
      </c>
      <c r="C29" s="42" t="s">
        <v>204</v>
      </c>
      <c r="D29" s="35" t="s">
        <v>73</v>
      </c>
      <c r="E29" s="42" t="s">
        <v>173</v>
      </c>
      <c r="F29" s="80" t="s">
        <v>174</v>
      </c>
      <c r="G29" s="42" t="s">
        <v>175</v>
      </c>
      <c r="H29" s="36">
        <v>85</v>
      </c>
      <c r="I29" s="38" t="s">
        <v>63</v>
      </c>
      <c r="J29" s="55">
        <v>43632.048</v>
      </c>
      <c r="K29" s="55">
        <v>14232.916564</v>
      </c>
      <c r="L29" s="55">
        <v>57864.964564</v>
      </c>
      <c r="M29" s="38" t="s">
        <v>64</v>
      </c>
    </row>
    <row r="30" spans="2:13" ht="18" customHeight="1" x14ac:dyDescent="0.25">
      <c r="B30" s="79" t="s">
        <v>21</v>
      </c>
      <c r="C30" s="40" t="s">
        <v>204</v>
      </c>
      <c r="D30" s="31" t="s">
        <v>73</v>
      </c>
      <c r="E30" s="40" t="s">
        <v>161</v>
      </c>
      <c r="F30" s="79" t="s">
        <v>162</v>
      </c>
      <c r="G30" s="40" t="s">
        <v>158</v>
      </c>
      <c r="H30" s="32">
        <v>3353</v>
      </c>
      <c r="I30" s="33" t="s">
        <v>63</v>
      </c>
      <c r="J30" s="53">
        <v>1721155.963</v>
      </c>
      <c r="K30" s="53">
        <v>3489094.763976</v>
      </c>
      <c r="L30" s="53">
        <v>5210250.726976</v>
      </c>
      <c r="M30" s="33" t="s">
        <v>64</v>
      </c>
    </row>
    <row r="31" spans="2:13" ht="18" customHeight="1" x14ac:dyDescent="0.25">
      <c r="B31" s="80" t="s">
        <v>21</v>
      </c>
      <c r="C31" s="42" t="s">
        <v>204</v>
      </c>
      <c r="D31" s="35" t="s">
        <v>73</v>
      </c>
      <c r="E31" s="42" t="s">
        <v>163</v>
      </c>
      <c r="F31" s="80" t="s">
        <v>164</v>
      </c>
      <c r="G31" s="42" t="s">
        <v>158</v>
      </c>
      <c r="H31" s="36">
        <v>3034</v>
      </c>
      <c r="I31" s="38" t="s">
        <v>63</v>
      </c>
      <c r="J31" s="55">
        <v>1557407.453</v>
      </c>
      <c r="K31" s="55">
        <v>3184846.539388</v>
      </c>
      <c r="L31" s="55">
        <v>4742253.992388</v>
      </c>
      <c r="M31" s="38" t="s">
        <v>64</v>
      </c>
    </row>
    <row r="32" spans="2:13" ht="18" customHeight="1" x14ac:dyDescent="0.25">
      <c r="B32" s="79" t="s">
        <v>21</v>
      </c>
      <c r="C32" s="40" t="s">
        <v>204</v>
      </c>
      <c r="D32" s="31" t="s">
        <v>73</v>
      </c>
      <c r="E32" s="40" t="s">
        <v>152</v>
      </c>
      <c r="F32" s="79" t="s">
        <v>153</v>
      </c>
      <c r="G32" s="40" t="s">
        <v>108</v>
      </c>
      <c r="H32" s="32">
        <v>6068</v>
      </c>
      <c r="I32" s="33" t="s">
        <v>63</v>
      </c>
      <c r="J32" s="53">
        <v>3114814.908</v>
      </c>
      <c r="K32" s="53">
        <v>6042143.885338</v>
      </c>
      <c r="L32" s="53">
        <v>9156958.793338001</v>
      </c>
      <c r="M32" s="33" t="s">
        <v>64</v>
      </c>
    </row>
    <row r="33" spans="2:13" ht="18" customHeight="1" x14ac:dyDescent="0.25">
      <c r="B33" s="80" t="s">
        <v>21</v>
      </c>
      <c r="C33" s="42" t="s">
        <v>204</v>
      </c>
      <c r="D33" s="35" t="s">
        <v>73</v>
      </c>
      <c r="E33" s="42" t="s">
        <v>148</v>
      </c>
      <c r="F33" s="80" t="s">
        <v>149</v>
      </c>
      <c r="G33" s="42" t="s">
        <v>108</v>
      </c>
      <c r="H33" s="36">
        <v>5832</v>
      </c>
      <c r="I33" s="38" t="s">
        <v>63</v>
      </c>
      <c r="J33" s="55">
        <v>2993671.812</v>
      </c>
      <c r="K33" s="55">
        <v>6375070.581761</v>
      </c>
      <c r="L33" s="55">
        <v>9368742.393761</v>
      </c>
      <c r="M33" s="38" t="s">
        <v>64</v>
      </c>
    </row>
    <row r="34" spans="2:13" ht="18" customHeight="1" x14ac:dyDescent="0.25">
      <c r="B34" s="79" t="s">
        <v>21</v>
      </c>
      <c r="C34" s="40" t="s">
        <v>204</v>
      </c>
      <c r="D34" s="31" t="s">
        <v>73</v>
      </c>
      <c r="E34" s="40" t="s">
        <v>176</v>
      </c>
      <c r="F34" s="79" t="s">
        <v>177</v>
      </c>
      <c r="G34" s="40" t="s">
        <v>178</v>
      </c>
      <c r="H34" s="32">
        <v>16</v>
      </c>
      <c r="I34" s="33" t="s">
        <v>63</v>
      </c>
      <c r="J34" s="53">
        <v>8213.091</v>
      </c>
      <c r="K34" s="53">
        <v>4373.29617</v>
      </c>
      <c r="L34" s="53">
        <v>12586.38717</v>
      </c>
      <c r="M34" s="33" t="s">
        <v>64</v>
      </c>
    </row>
    <row r="35" spans="2:13" ht="18" customHeight="1" x14ac:dyDescent="0.25">
      <c r="B35" s="80" t="s">
        <v>21</v>
      </c>
      <c r="C35" s="42" t="s">
        <v>189</v>
      </c>
      <c r="D35" s="35" t="s">
        <v>76</v>
      </c>
      <c r="E35" s="42" t="s">
        <v>146</v>
      </c>
      <c r="F35" s="80" t="s">
        <v>120</v>
      </c>
      <c r="G35" s="42" t="s">
        <v>112</v>
      </c>
      <c r="H35" s="36">
        <v>1411</v>
      </c>
      <c r="I35" s="38" t="s">
        <v>63</v>
      </c>
      <c r="J35" s="55">
        <v>3012486.393</v>
      </c>
      <c r="K35" s="55">
        <v>8033782.313921</v>
      </c>
      <c r="L35" s="55">
        <v>11046268.706921</v>
      </c>
      <c r="M35" s="38" t="s">
        <v>64</v>
      </c>
    </row>
    <row r="36" spans="2:13" ht="18" customHeight="1" x14ac:dyDescent="0.25">
      <c r="B36" s="79" t="s">
        <v>21</v>
      </c>
      <c r="C36" s="40" t="s">
        <v>189</v>
      </c>
      <c r="D36" s="31" t="s">
        <v>76</v>
      </c>
      <c r="E36" s="40" t="s">
        <v>154</v>
      </c>
      <c r="F36" s="79" t="s">
        <v>155</v>
      </c>
      <c r="G36" s="40" t="s">
        <v>112</v>
      </c>
      <c r="H36" s="32">
        <v>918</v>
      </c>
      <c r="I36" s="33" t="s">
        <v>63</v>
      </c>
      <c r="J36" s="53">
        <v>1959930.9</v>
      </c>
      <c r="K36" s="53">
        <v>4917765.057927</v>
      </c>
      <c r="L36" s="53">
        <v>6877695.957927</v>
      </c>
      <c r="M36" s="33" t="s">
        <v>64</v>
      </c>
    </row>
    <row r="37" spans="2:13" ht="18" customHeight="1" x14ac:dyDescent="0.25">
      <c r="B37" s="80" t="s">
        <v>21</v>
      </c>
      <c r="C37" s="42" t="s">
        <v>189</v>
      </c>
      <c r="D37" s="35" t="s">
        <v>76</v>
      </c>
      <c r="E37" s="42" t="s">
        <v>159</v>
      </c>
      <c r="F37" s="80" t="s">
        <v>160</v>
      </c>
      <c r="G37" s="42" t="s">
        <v>112</v>
      </c>
      <c r="H37" s="36">
        <v>867</v>
      </c>
      <c r="I37" s="38" t="s">
        <v>63</v>
      </c>
      <c r="J37" s="55">
        <v>1851045.852</v>
      </c>
      <c r="K37" s="55">
        <v>4882216.209155</v>
      </c>
      <c r="L37" s="55">
        <v>6733262.061155</v>
      </c>
      <c r="M37" s="38" t="s">
        <v>64</v>
      </c>
    </row>
    <row r="38" spans="2:13" ht="18" customHeight="1" x14ac:dyDescent="0.25">
      <c r="B38" s="79" t="s">
        <v>21</v>
      </c>
      <c r="C38" s="40" t="s">
        <v>189</v>
      </c>
      <c r="D38" s="31" t="s">
        <v>76</v>
      </c>
      <c r="E38" s="40" t="s">
        <v>165</v>
      </c>
      <c r="F38" s="79" t="s">
        <v>166</v>
      </c>
      <c r="G38" s="40" t="s">
        <v>112</v>
      </c>
      <c r="H38" s="32">
        <v>414</v>
      </c>
      <c r="I38" s="33" t="s">
        <v>63</v>
      </c>
      <c r="J38" s="53">
        <v>883890.409</v>
      </c>
      <c r="K38" s="53">
        <v>2433378.37564</v>
      </c>
      <c r="L38" s="53">
        <v>3317268.78464</v>
      </c>
      <c r="M38" s="33" t="s">
        <v>64</v>
      </c>
    </row>
    <row r="39" spans="2:13" ht="18" customHeight="1" x14ac:dyDescent="0.25">
      <c r="B39" s="80" t="s">
        <v>21</v>
      </c>
      <c r="C39" s="42" t="s">
        <v>189</v>
      </c>
      <c r="D39" s="35" t="s">
        <v>76</v>
      </c>
      <c r="E39" s="42" t="s">
        <v>145</v>
      </c>
      <c r="F39" s="80" t="s">
        <v>115</v>
      </c>
      <c r="G39" s="42" t="s">
        <v>112</v>
      </c>
      <c r="H39" s="36">
        <v>1121</v>
      </c>
      <c r="I39" s="38" t="s">
        <v>63</v>
      </c>
      <c r="J39" s="55">
        <v>2393336.099</v>
      </c>
      <c r="K39" s="55">
        <v>6003614.248248</v>
      </c>
      <c r="L39" s="55">
        <v>8396950.347247999</v>
      </c>
      <c r="M39" s="38" t="s">
        <v>64</v>
      </c>
    </row>
    <row r="40" spans="2:13" ht="18" customHeight="1" x14ac:dyDescent="0.25">
      <c r="B40" s="79" t="s">
        <v>21</v>
      </c>
      <c r="C40" s="40" t="s">
        <v>189</v>
      </c>
      <c r="D40" s="31" t="s">
        <v>76</v>
      </c>
      <c r="E40" s="40" t="s">
        <v>143</v>
      </c>
      <c r="F40" s="79" t="s">
        <v>114</v>
      </c>
      <c r="G40" s="40" t="s">
        <v>112</v>
      </c>
      <c r="H40" s="32">
        <v>1318</v>
      </c>
      <c r="I40" s="33" t="s">
        <v>63</v>
      </c>
      <c r="J40" s="53">
        <v>2813931.295</v>
      </c>
      <c r="K40" s="53">
        <v>7312655.923806</v>
      </c>
      <c r="L40" s="53">
        <v>10126587.218806</v>
      </c>
      <c r="M40" s="33" t="s">
        <v>64</v>
      </c>
    </row>
    <row r="41" spans="2:13" ht="18" customHeight="1" x14ac:dyDescent="0.25">
      <c r="B41" s="80" t="s">
        <v>21</v>
      </c>
      <c r="C41" s="42" t="s">
        <v>189</v>
      </c>
      <c r="D41" s="35" t="s">
        <v>76</v>
      </c>
      <c r="E41" s="42" t="s">
        <v>147</v>
      </c>
      <c r="F41" s="80" t="s">
        <v>127</v>
      </c>
      <c r="G41" s="42" t="s">
        <v>108</v>
      </c>
      <c r="H41" s="36">
        <v>3179</v>
      </c>
      <c r="I41" s="38" t="s">
        <v>63</v>
      </c>
      <c r="J41" s="55">
        <v>6787168.118</v>
      </c>
      <c r="K41" s="55">
        <v>16934425.571286</v>
      </c>
      <c r="L41" s="55">
        <v>23721593.689286</v>
      </c>
      <c r="M41" s="38" t="s">
        <v>64</v>
      </c>
    </row>
    <row r="42" spans="2:13" ht="18" customHeight="1" x14ac:dyDescent="0.25">
      <c r="B42" s="79" t="s">
        <v>21</v>
      </c>
      <c r="C42" s="40" t="s">
        <v>189</v>
      </c>
      <c r="D42" s="31" t="s">
        <v>76</v>
      </c>
      <c r="E42" s="40" t="s">
        <v>142</v>
      </c>
      <c r="F42" s="79" t="s">
        <v>113</v>
      </c>
      <c r="G42" s="40" t="s">
        <v>108</v>
      </c>
      <c r="H42" s="32">
        <v>1875</v>
      </c>
      <c r="I42" s="33" t="s">
        <v>63</v>
      </c>
      <c r="J42" s="53">
        <v>4003126.839</v>
      </c>
      <c r="K42" s="53">
        <v>10610200.236572</v>
      </c>
      <c r="L42" s="53">
        <v>14613327.075572</v>
      </c>
      <c r="M42" s="33" t="s">
        <v>64</v>
      </c>
    </row>
    <row r="43" spans="2:13" ht="18" customHeight="1" x14ac:dyDescent="0.25">
      <c r="B43" s="80" t="s">
        <v>21</v>
      </c>
      <c r="C43" s="42" t="s">
        <v>189</v>
      </c>
      <c r="D43" s="35" t="s">
        <v>76</v>
      </c>
      <c r="E43" s="42" t="s">
        <v>138</v>
      </c>
      <c r="F43" s="80" t="s">
        <v>107</v>
      </c>
      <c r="G43" s="42" t="s">
        <v>108</v>
      </c>
      <c r="H43" s="36">
        <v>11319</v>
      </c>
      <c r="I43" s="38" t="s">
        <v>63</v>
      </c>
      <c r="J43" s="55">
        <v>24166076.066</v>
      </c>
      <c r="K43" s="55">
        <v>59144717.75495</v>
      </c>
      <c r="L43" s="55">
        <v>83310793.82095</v>
      </c>
      <c r="M43" s="38" t="s">
        <v>64</v>
      </c>
    </row>
    <row r="44" spans="2:13" ht="18" customHeight="1" x14ac:dyDescent="0.25">
      <c r="B44" s="79" t="s">
        <v>21</v>
      </c>
      <c r="C44" s="40" t="s">
        <v>189</v>
      </c>
      <c r="D44" s="31" t="s">
        <v>76</v>
      </c>
      <c r="E44" s="40" t="s">
        <v>119</v>
      </c>
      <c r="F44" s="79" t="s">
        <v>118</v>
      </c>
      <c r="G44" s="40" t="s">
        <v>112</v>
      </c>
      <c r="H44" s="32">
        <v>1261</v>
      </c>
      <c r="I44" s="33" t="s">
        <v>63</v>
      </c>
      <c r="J44" s="53">
        <v>2692236.238</v>
      </c>
      <c r="K44" s="53">
        <v>7311702.17084</v>
      </c>
      <c r="L44" s="53">
        <v>10003938.40884</v>
      </c>
      <c r="M44" s="33" t="s">
        <v>64</v>
      </c>
    </row>
    <row r="45" spans="2:13" ht="18" customHeight="1" x14ac:dyDescent="0.25">
      <c r="B45" s="80" t="s">
        <v>21</v>
      </c>
      <c r="C45" s="42" t="s">
        <v>189</v>
      </c>
      <c r="D45" s="35" t="s">
        <v>76</v>
      </c>
      <c r="E45" s="42" t="s">
        <v>144</v>
      </c>
      <c r="F45" s="80" t="s">
        <v>116</v>
      </c>
      <c r="G45" s="42" t="s">
        <v>112</v>
      </c>
      <c r="H45" s="36">
        <v>2532</v>
      </c>
      <c r="I45" s="38" t="s">
        <v>63</v>
      </c>
      <c r="J45" s="55">
        <v>5405822.488</v>
      </c>
      <c r="K45" s="55">
        <v>13879055.881531</v>
      </c>
      <c r="L45" s="55">
        <v>19284878.369531</v>
      </c>
      <c r="M45" s="38" t="s">
        <v>64</v>
      </c>
    </row>
    <row r="46" spans="2:13" ht="18" customHeight="1" x14ac:dyDescent="0.25">
      <c r="B46" s="79" t="s">
        <v>21</v>
      </c>
      <c r="C46" s="40" t="s">
        <v>189</v>
      </c>
      <c r="D46" s="31" t="s">
        <v>76</v>
      </c>
      <c r="E46" s="40" t="s">
        <v>140</v>
      </c>
      <c r="F46" s="79" t="s">
        <v>110</v>
      </c>
      <c r="G46" s="40" t="s">
        <v>108</v>
      </c>
      <c r="H46" s="32">
        <v>4326</v>
      </c>
      <c r="I46" s="33" t="s">
        <v>63</v>
      </c>
      <c r="J46" s="53">
        <v>9236014.231000001</v>
      </c>
      <c r="K46" s="53">
        <v>24606893.249229</v>
      </c>
      <c r="L46" s="53">
        <v>33842907.480229</v>
      </c>
      <c r="M46" s="33" t="s">
        <v>64</v>
      </c>
    </row>
    <row r="47" spans="2:13" ht="18" customHeight="1" x14ac:dyDescent="0.25">
      <c r="B47" s="80" t="s">
        <v>21</v>
      </c>
      <c r="C47" s="42" t="s">
        <v>189</v>
      </c>
      <c r="D47" s="35" t="s">
        <v>76</v>
      </c>
      <c r="E47" s="42" t="s">
        <v>139</v>
      </c>
      <c r="F47" s="80" t="s">
        <v>109</v>
      </c>
      <c r="G47" s="42" t="s">
        <v>108</v>
      </c>
      <c r="H47" s="36">
        <v>7615</v>
      </c>
      <c r="I47" s="38" t="s">
        <v>63</v>
      </c>
      <c r="J47" s="55">
        <v>16258032.445</v>
      </c>
      <c r="K47" s="55">
        <v>41929444.851764</v>
      </c>
      <c r="L47" s="55">
        <v>58187477.296764</v>
      </c>
      <c r="M47" s="38" t="s">
        <v>64</v>
      </c>
    </row>
    <row r="48" spans="2:13" ht="18" customHeight="1" x14ac:dyDescent="0.25">
      <c r="B48" s="79" t="s">
        <v>21</v>
      </c>
      <c r="C48" s="40" t="s">
        <v>189</v>
      </c>
      <c r="D48" s="31" t="s">
        <v>76</v>
      </c>
      <c r="E48" s="40" t="s">
        <v>156</v>
      </c>
      <c r="F48" s="79" t="s">
        <v>157</v>
      </c>
      <c r="G48" s="40" t="s">
        <v>158</v>
      </c>
      <c r="H48" s="32">
        <v>602</v>
      </c>
      <c r="I48" s="33" t="s">
        <v>63</v>
      </c>
      <c r="J48" s="53">
        <v>1285270.597</v>
      </c>
      <c r="K48" s="53">
        <v>3537543.314789</v>
      </c>
      <c r="L48" s="53">
        <v>4822813.911789</v>
      </c>
      <c r="M48" s="33" t="s">
        <v>64</v>
      </c>
    </row>
    <row r="49" spans="2:13" ht="18" customHeight="1" x14ac:dyDescent="0.25">
      <c r="B49" s="80" t="s">
        <v>21</v>
      </c>
      <c r="C49" s="42" t="s">
        <v>189</v>
      </c>
      <c r="D49" s="35" t="s">
        <v>76</v>
      </c>
      <c r="E49" s="42" t="s">
        <v>167</v>
      </c>
      <c r="F49" s="80" t="s">
        <v>168</v>
      </c>
      <c r="G49" s="42" t="s">
        <v>158</v>
      </c>
      <c r="H49" s="36">
        <v>533</v>
      </c>
      <c r="I49" s="38" t="s">
        <v>63</v>
      </c>
      <c r="J49" s="55">
        <v>1137955.521</v>
      </c>
      <c r="K49" s="55">
        <v>2787688.434004</v>
      </c>
      <c r="L49" s="55">
        <v>3925643.955004</v>
      </c>
      <c r="M49" s="38" t="s">
        <v>64</v>
      </c>
    </row>
    <row r="50" spans="2:13" ht="18" customHeight="1" x14ac:dyDescent="0.25">
      <c r="B50" s="79" t="s">
        <v>21</v>
      </c>
      <c r="C50" s="40" t="s">
        <v>189</v>
      </c>
      <c r="D50" s="31" t="s">
        <v>76</v>
      </c>
      <c r="E50" s="40" t="s">
        <v>169</v>
      </c>
      <c r="F50" s="79" t="s">
        <v>170</v>
      </c>
      <c r="G50" s="40" t="s">
        <v>158</v>
      </c>
      <c r="H50" s="32">
        <v>576</v>
      </c>
      <c r="I50" s="33" t="s">
        <v>63</v>
      </c>
      <c r="J50" s="53">
        <v>1229760.566</v>
      </c>
      <c r="K50" s="53">
        <v>2998208.132993</v>
      </c>
      <c r="L50" s="53">
        <v>4227968.698993</v>
      </c>
      <c r="M50" s="33" t="s">
        <v>64</v>
      </c>
    </row>
    <row r="51" spans="2:13" ht="18" customHeight="1" x14ac:dyDescent="0.25">
      <c r="B51" s="80" t="s">
        <v>21</v>
      </c>
      <c r="C51" s="42" t="s">
        <v>189</v>
      </c>
      <c r="D51" s="35" t="s">
        <v>76</v>
      </c>
      <c r="E51" s="42" t="s">
        <v>141</v>
      </c>
      <c r="F51" s="80" t="s">
        <v>111</v>
      </c>
      <c r="G51" s="42" t="s">
        <v>112</v>
      </c>
      <c r="H51" s="36">
        <v>4984</v>
      </c>
      <c r="I51" s="38" t="s">
        <v>63</v>
      </c>
      <c r="J51" s="55">
        <v>10640844.88</v>
      </c>
      <c r="K51" s="55">
        <v>25709422.590559</v>
      </c>
      <c r="L51" s="55">
        <v>36350267.470559</v>
      </c>
      <c r="M51" s="38" t="s">
        <v>64</v>
      </c>
    </row>
    <row r="52" spans="2:13" ht="18" customHeight="1" x14ac:dyDescent="0.25">
      <c r="B52" s="79" t="s">
        <v>21</v>
      </c>
      <c r="C52" s="40" t="s">
        <v>189</v>
      </c>
      <c r="D52" s="31" t="s">
        <v>76</v>
      </c>
      <c r="E52" s="40" t="s">
        <v>150</v>
      </c>
      <c r="F52" s="79" t="s">
        <v>151</v>
      </c>
      <c r="G52" s="40" t="s">
        <v>112</v>
      </c>
      <c r="H52" s="32">
        <v>932</v>
      </c>
      <c r="I52" s="33" t="s">
        <v>63</v>
      </c>
      <c r="J52" s="53">
        <v>1989820.917</v>
      </c>
      <c r="K52" s="53">
        <v>5195254.847439</v>
      </c>
      <c r="L52" s="53">
        <v>7185075.764439</v>
      </c>
      <c r="M52" s="33" t="s">
        <v>64</v>
      </c>
    </row>
    <row r="53" spans="2:13" ht="18" customHeight="1" x14ac:dyDescent="0.25">
      <c r="B53" s="80" t="s">
        <v>21</v>
      </c>
      <c r="C53" s="42" t="s">
        <v>189</v>
      </c>
      <c r="D53" s="35" t="s">
        <v>76</v>
      </c>
      <c r="E53" s="42" t="s">
        <v>171</v>
      </c>
      <c r="F53" s="80" t="s">
        <v>172</v>
      </c>
      <c r="G53" s="42" t="s">
        <v>158</v>
      </c>
      <c r="H53" s="36">
        <v>447</v>
      </c>
      <c r="I53" s="38" t="s">
        <v>63</v>
      </c>
      <c r="J53" s="55">
        <v>954345.441</v>
      </c>
      <c r="K53" s="55">
        <v>2796021.80889</v>
      </c>
      <c r="L53" s="55">
        <v>3750367.24989</v>
      </c>
      <c r="M53" s="38" t="s">
        <v>64</v>
      </c>
    </row>
    <row r="54" spans="2:13" ht="18" customHeight="1" x14ac:dyDescent="0.25">
      <c r="B54" s="79" t="s">
        <v>21</v>
      </c>
      <c r="C54" s="40" t="s">
        <v>189</v>
      </c>
      <c r="D54" s="31" t="s">
        <v>76</v>
      </c>
      <c r="E54" s="40" t="s">
        <v>173</v>
      </c>
      <c r="F54" s="79" t="s">
        <v>174</v>
      </c>
      <c r="G54" s="40" t="s">
        <v>175</v>
      </c>
      <c r="H54" s="32">
        <v>30</v>
      </c>
      <c r="I54" s="33" t="s">
        <v>63</v>
      </c>
      <c r="J54" s="53">
        <v>64050.03</v>
      </c>
      <c r="K54" s="53">
        <v>132014.169796</v>
      </c>
      <c r="L54" s="53">
        <v>196064.199796</v>
      </c>
      <c r="M54" s="33" t="s">
        <v>64</v>
      </c>
    </row>
    <row r="55" spans="2:13" ht="18" customHeight="1" x14ac:dyDescent="0.25">
      <c r="B55" s="80" t="s">
        <v>21</v>
      </c>
      <c r="C55" s="42" t="s">
        <v>189</v>
      </c>
      <c r="D55" s="35" t="s">
        <v>76</v>
      </c>
      <c r="E55" s="42" t="s">
        <v>161</v>
      </c>
      <c r="F55" s="80" t="s">
        <v>162</v>
      </c>
      <c r="G55" s="42" t="s">
        <v>158</v>
      </c>
      <c r="H55" s="36">
        <v>1041</v>
      </c>
      <c r="I55" s="38" t="s">
        <v>63</v>
      </c>
      <c r="J55" s="55">
        <v>2222536.022</v>
      </c>
      <c r="K55" s="55">
        <v>5612614.051338</v>
      </c>
      <c r="L55" s="55">
        <v>7835150.073338</v>
      </c>
      <c r="M55" s="38" t="s">
        <v>64</v>
      </c>
    </row>
    <row r="56" spans="2:13" ht="18" customHeight="1" x14ac:dyDescent="0.25">
      <c r="B56" s="79" t="s">
        <v>21</v>
      </c>
      <c r="C56" s="40" t="s">
        <v>189</v>
      </c>
      <c r="D56" s="31" t="s">
        <v>76</v>
      </c>
      <c r="E56" s="40" t="s">
        <v>163</v>
      </c>
      <c r="F56" s="79" t="s">
        <v>164</v>
      </c>
      <c r="G56" s="40" t="s">
        <v>158</v>
      </c>
      <c r="H56" s="32">
        <v>480</v>
      </c>
      <c r="I56" s="33" t="s">
        <v>63</v>
      </c>
      <c r="J56" s="53">
        <v>1024800.475</v>
      </c>
      <c r="K56" s="53">
        <v>2801017.762538</v>
      </c>
      <c r="L56" s="53">
        <v>3825818.237538</v>
      </c>
      <c r="M56" s="33" t="s">
        <v>64</v>
      </c>
    </row>
    <row r="57" spans="2:13" ht="18" customHeight="1" x14ac:dyDescent="0.25">
      <c r="B57" s="80" t="s">
        <v>21</v>
      </c>
      <c r="C57" s="42" t="s">
        <v>189</v>
      </c>
      <c r="D57" s="35" t="s">
        <v>76</v>
      </c>
      <c r="E57" s="42" t="s">
        <v>152</v>
      </c>
      <c r="F57" s="80" t="s">
        <v>153</v>
      </c>
      <c r="G57" s="42" t="s">
        <v>108</v>
      </c>
      <c r="H57" s="36">
        <v>1372</v>
      </c>
      <c r="I57" s="38" t="s">
        <v>63</v>
      </c>
      <c r="J57" s="55">
        <v>2929221.343</v>
      </c>
      <c r="K57" s="55">
        <v>8130998.630763</v>
      </c>
      <c r="L57" s="55">
        <v>11060219.973763</v>
      </c>
      <c r="M57" s="38" t="s">
        <v>64</v>
      </c>
    </row>
    <row r="58" spans="2:13" ht="18" customHeight="1" x14ac:dyDescent="0.25">
      <c r="B58" s="79" t="s">
        <v>21</v>
      </c>
      <c r="C58" s="40" t="s">
        <v>189</v>
      </c>
      <c r="D58" s="31" t="s">
        <v>76</v>
      </c>
      <c r="E58" s="40" t="s">
        <v>148</v>
      </c>
      <c r="F58" s="79" t="s">
        <v>149</v>
      </c>
      <c r="G58" s="40" t="s">
        <v>108</v>
      </c>
      <c r="H58" s="32">
        <v>976</v>
      </c>
      <c r="I58" s="33" t="s">
        <v>63</v>
      </c>
      <c r="J58" s="53">
        <v>2083760.957</v>
      </c>
      <c r="K58" s="53">
        <v>5835402.341021</v>
      </c>
      <c r="L58" s="53">
        <v>7919163.298021</v>
      </c>
      <c r="M58" s="33" t="s">
        <v>64</v>
      </c>
    </row>
    <row r="59" spans="2:13" ht="18" customHeight="1" x14ac:dyDescent="0.25">
      <c r="B59" s="80" t="s">
        <v>21</v>
      </c>
      <c r="C59" s="42" t="s">
        <v>189</v>
      </c>
      <c r="D59" s="35" t="s">
        <v>76</v>
      </c>
      <c r="E59" s="42" t="s">
        <v>176</v>
      </c>
      <c r="F59" s="80" t="s">
        <v>177</v>
      </c>
      <c r="G59" s="42" t="s">
        <v>178</v>
      </c>
      <c r="H59" s="36">
        <v>0</v>
      </c>
      <c r="I59" s="38" t="s">
        <v>63</v>
      </c>
      <c r="J59" s="55">
        <v>0</v>
      </c>
      <c r="K59" s="55">
        <v>0</v>
      </c>
      <c r="L59" s="55">
        <v>0</v>
      </c>
      <c r="M59" s="38" t="s">
        <v>64</v>
      </c>
    </row>
    <row r="60" spans="2:13" ht="18" customHeight="1" x14ac:dyDescent="0.25">
      <c r="B60" s="79" t="s">
        <v>21</v>
      </c>
      <c r="C60" s="40" t="s">
        <v>182</v>
      </c>
      <c r="D60" s="31" t="s">
        <v>69</v>
      </c>
      <c r="E60" s="40" t="s">
        <v>146</v>
      </c>
      <c r="F60" s="79" t="s">
        <v>120</v>
      </c>
      <c r="G60" s="40" t="s">
        <v>112</v>
      </c>
      <c r="H60" s="32">
        <v>22479</v>
      </c>
      <c r="I60" s="33" t="s">
        <v>63</v>
      </c>
      <c r="J60" s="53">
        <v>9812637.892000001</v>
      </c>
      <c r="K60" s="53">
        <v>29514959.474308</v>
      </c>
      <c r="L60" s="53">
        <v>39327597.366308</v>
      </c>
      <c r="M60" s="33" t="s">
        <v>64</v>
      </c>
    </row>
    <row r="61" spans="2:13" ht="18" customHeight="1" x14ac:dyDescent="0.25">
      <c r="B61" s="80" t="s">
        <v>21</v>
      </c>
      <c r="C61" s="42" t="s">
        <v>182</v>
      </c>
      <c r="D61" s="35" t="s">
        <v>69</v>
      </c>
      <c r="E61" s="42" t="s">
        <v>154</v>
      </c>
      <c r="F61" s="80" t="s">
        <v>155</v>
      </c>
      <c r="G61" s="42" t="s">
        <v>112</v>
      </c>
      <c r="H61" s="36">
        <v>14191</v>
      </c>
      <c r="I61" s="38" t="s">
        <v>63</v>
      </c>
      <c r="J61" s="55">
        <v>6194721.487</v>
      </c>
      <c r="K61" s="55">
        <v>16795391.608233</v>
      </c>
      <c r="L61" s="55">
        <v>22990113.095233</v>
      </c>
      <c r="M61" s="38" t="s">
        <v>64</v>
      </c>
    </row>
    <row r="62" spans="2:13" ht="18" customHeight="1" x14ac:dyDescent="0.25">
      <c r="B62" s="79" t="s">
        <v>21</v>
      </c>
      <c r="C62" s="40" t="s">
        <v>182</v>
      </c>
      <c r="D62" s="31" t="s">
        <v>69</v>
      </c>
      <c r="E62" s="40" t="s">
        <v>159</v>
      </c>
      <c r="F62" s="79" t="s">
        <v>160</v>
      </c>
      <c r="G62" s="40" t="s">
        <v>112</v>
      </c>
      <c r="H62" s="32">
        <v>11086</v>
      </c>
      <c r="I62" s="33" t="s">
        <v>63</v>
      </c>
      <c r="J62" s="53">
        <v>4839312.409</v>
      </c>
      <c r="K62" s="53">
        <v>14144846.494975</v>
      </c>
      <c r="L62" s="53">
        <v>18984158.903975</v>
      </c>
      <c r="M62" s="33" t="s">
        <v>64</v>
      </c>
    </row>
    <row r="63" spans="2:13" ht="18" customHeight="1" x14ac:dyDescent="0.25">
      <c r="B63" s="80" t="s">
        <v>21</v>
      </c>
      <c r="C63" s="42" t="s">
        <v>182</v>
      </c>
      <c r="D63" s="35" t="s">
        <v>69</v>
      </c>
      <c r="E63" s="42" t="s">
        <v>165</v>
      </c>
      <c r="F63" s="80" t="s">
        <v>166</v>
      </c>
      <c r="G63" s="42" t="s">
        <v>112</v>
      </c>
      <c r="H63" s="36">
        <v>9216</v>
      </c>
      <c r="I63" s="38" t="s">
        <v>63</v>
      </c>
      <c r="J63" s="55">
        <v>4023011.293</v>
      </c>
      <c r="K63" s="55">
        <v>10806914.844807</v>
      </c>
      <c r="L63" s="55">
        <v>14829926.137807</v>
      </c>
      <c r="M63" s="38" t="s">
        <v>64</v>
      </c>
    </row>
    <row r="64" spans="2:13" ht="18" customHeight="1" x14ac:dyDescent="0.25">
      <c r="B64" s="79" t="s">
        <v>21</v>
      </c>
      <c r="C64" s="40" t="s">
        <v>182</v>
      </c>
      <c r="D64" s="31" t="s">
        <v>69</v>
      </c>
      <c r="E64" s="40" t="s">
        <v>145</v>
      </c>
      <c r="F64" s="79" t="s">
        <v>115</v>
      </c>
      <c r="G64" s="40" t="s">
        <v>112</v>
      </c>
      <c r="H64" s="32">
        <v>25114</v>
      </c>
      <c r="I64" s="33" t="s">
        <v>63</v>
      </c>
      <c r="J64" s="53">
        <v>10962880.378</v>
      </c>
      <c r="K64" s="53">
        <v>30783116.291395</v>
      </c>
      <c r="L64" s="53">
        <v>41745996.669395</v>
      </c>
      <c r="M64" s="33" t="s">
        <v>64</v>
      </c>
    </row>
    <row r="65" spans="2:13" ht="18" customHeight="1" x14ac:dyDescent="0.25">
      <c r="B65" s="80" t="s">
        <v>21</v>
      </c>
      <c r="C65" s="42" t="s">
        <v>182</v>
      </c>
      <c r="D65" s="35" t="s">
        <v>69</v>
      </c>
      <c r="E65" s="42" t="s">
        <v>143</v>
      </c>
      <c r="F65" s="80" t="s">
        <v>114</v>
      </c>
      <c r="G65" s="42" t="s">
        <v>112</v>
      </c>
      <c r="H65" s="36">
        <v>25273</v>
      </c>
      <c r="I65" s="38" t="s">
        <v>63</v>
      </c>
      <c r="J65" s="55">
        <v>11032287.798</v>
      </c>
      <c r="K65" s="55">
        <v>28128332.820372</v>
      </c>
      <c r="L65" s="55">
        <v>39160620.618372</v>
      </c>
      <c r="M65" s="38" t="s">
        <v>64</v>
      </c>
    </row>
    <row r="66" spans="2:13" ht="18" customHeight="1" x14ac:dyDescent="0.25">
      <c r="B66" s="79" t="s">
        <v>21</v>
      </c>
      <c r="C66" s="40" t="s">
        <v>182</v>
      </c>
      <c r="D66" s="31" t="s">
        <v>69</v>
      </c>
      <c r="E66" s="40" t="s">
        <v>147</v>
      </c>
      <c r="F66" s="79" t="s">
        <v>127</v>
      </c>
      <c r="G66" s="40" t="s">
        <v>108</v>
      </c>
      <c r="H66" s="32">
        <v>19323</v>
      </c>
      <c r="I66" s="33" t="s">
        <v>63</v>
      </c>
      <c r="J66" s="53">
        <v>8434966.059</v>
      </c>
      <c r="K66" s="53">
        <v>25942266.831724</v>
      </c>
      <c r="L66" s="53">
        <v>34377232.890724</v>
      </c>
      <c r="M66" s="33" t="s">
        <v>64</v>
      </c>
    </row>
    <row r="67" spans="2:13" ht="18" customHeight="1" x14ac:dyDescent="0.25">
      <c r="B67" s="80" t="s">
        <v>21</v>
      </c>
      <c r="C67" s="42" t="s">
        <v>182</v>
      </c>
      <c r="D67" s="35" t="s">
        <v>69</v>
      </c>
      <c r="E67" s="42" t="s">
        <v>142</v>
      </c>
      <c r="F67" s="80" t="s">
        <v>113</v>
      </c>
      <c r="G67" s="42" t="s">
        <v>108</v>
      </c>
      <c r="H67" s="36">
        <v>31056</v>
      </c>
      <c r="I67" s="38" t="s">
        <v>63</v>
      </c>
      <c r="J67" s="55">
        <v>13556709.927</v>
      </c>
      <c r="K67" s="55">
        <v>44331000.706642</v>
      </c>
      <c r="L67" s="55">
        <v>57887710.633642</v>
      </c>
      <c r="M67" s="38" t="s">
        <v>64</v>
      </c>
    </row>
    <row r="68" spans="2:13" ht="18" customHeight="1" x14ac:dyDescent="0.25">
      <c r="B68" s="79" t="s">
        <v>21</v>
      </c>
      <c r="C68" s="40" t="s">
        <v>182</v>
      </c>
      <c r="D68" s="31" t="s">
        <v>69</v>
      </c>
      <c r="E68" s="40" t="s">
        <v>138</v>
      </c>
      <c r="F68" s="79" t="s">
        <v>107</v>
      </c>
      <c r="G68" s="40" t="s">
        <v>108</v>
      </c>
      <c r="H68" s="32">
        <v>127982</v>
      </c>
      <c r="I68" s="33" t="s">
        <v>63</v>
      </c>
      <c r="J68" s="53">
        <v>55867299.377</v>
      </c>
      <c r="K68" s="53">
        <v>185431028.350623</v>
      </c>
      <c r="L68" s="53">
        <v>241298327.727623</v>
      </c>
      <c r="M68" s="33" t="s">
        <v>64</v>
      </c>
    </row>
    <row r="69" spans="2:13" ht="18" customHeight="1" x14ac:dyDescent="0.25">
      <c r="B69" s="80" t="s">
        <v>21</v>
      </c>
      <c r="C69" s="42" t="s">
        <v>182</v>
      </c>
      <c r="D69" s="35" t="s">
        <v>69</v>
      </c>
      <c r="E69" s="42" t="s">
        <v>119</v>
      </c>
      <c r="F69" s="80" t="s">
        <v>118</v>
      </c>
      <c r="G69" s="42" t="s">
        <v>112</v>
      </c>
      <c r="H69" s="36">
        <v>21094</v>
      </c>
      <c r="I69" s="38" t="s">
        <v>63</v>
      </c>
      <c r="J69" s="55">
        <v>9208051.233999999</v>
      </c>
      <c r="K69" s="55">
        <v>24955733.176246</v>
      </c>
      <c r="L69" s="55">
        <v>34163784.410246</v>
      </c>
      <c r="M69" s="38" t="s">
        <v>64</v>
      </c>
    </row>
    <row r="70" spans="2:13" ht="18" customHeight="1" x14ac:dyDescent="0.25">
      <c r="B70" s="79" t="s">
        <v>21</v>
      </c>
      <c r="C70" s="40" t="s">
        <v>182</v>
      </c>
      <c r="D70" s="31" t="s">
        <v>69</v>
      </c>
      <c r="E70" s="40" t="s">
        <v>144</v>
      </c>
      <c r="F70" s="79" t="s">
        <v>116</v>
      </c>
      <c r="G70" s="40" t="s">
        <v>112</v>
      </c>
      <c r="H70" s="32">
        <v>21629</v>
      </c>
      <c r="I70" s="33" t="s">
        <v>63</v>
      </c>
      <c r="J70" s="53">
        <v>9441591.934</v>
      </c>
      <c r="K70" s="53">
        <v>28536605.623261</v>
      </c>
      <c r="L70" s="53">
        <v>37978197.557261</v>
      </c>
      <c r="M70" s="33" t="s">
        <v>64</v>
      </c>
    </row>
    <row r="71" spans="2:13" ht="18" customHeight="1" x14ac:dyDescent="0.25">
      <c r="B71" s="80" t="s">
        <v>21</v>
      </c>
      <c r="C71" s="42" t="s">
        <v>182</v>
      </c>
      <c r="D71" s="35" t="s">
        <v>69</v>
      </c>
      <c r="E71" s="42" t="s">
        <v>140</v>
      </c>
      <c r="F71" s="80" t="s">
        <v>110</v>
      </c>
      <c r="G71" s="42" t="s">
        <v>108</v>
      </c>
      <c r="H71" s="36">
        <v>57817</v>
      </c>
      <c r="I71" s="38" t="s">
        <v>63</v>
      </c>
      <c r="J71" s="55">
        <v>25238546.419</v>
      </c>
      <c r="K71" s="55">
        <v>79881485.367652</v>
      </c>
      <c r="L71" s="55">
        <v>105120031.786652</v>
      </c>
      <c r="M71" s="38" t="s">
        <v>64</v>
      </c>
    </row>
    <row r="72" spans="2:13" ht="18" customHeight="1" x14ac:dyDescent="0.25">
      <c r="B72" s="79" t="s">
        <v>21</v>
      </c>
      <c r="C72" s="40" t="s">
        <v>182</v>
      </c>
      <c r="D72" s="31" t="s">
        <v>69</v>
      </c>
      <c r="E72" s="40" t="s">
        <v>139</v>
      </c>
      <c r="F72" s="79" t="s">
        <v>109</v>
      </c>
      <c r="G72" s="40" t="s">
        <v>108</v>
      </c>
      <c r="H72" s="32">
        <v>95732</v>
      </c>
      <c r="I72" s="33" t="s">
        <v>63</v>
      </c>
      <c r="J72" s="53">
        <v>41789379.005</v>
      </c>
      <c r="K72" s="53">
        <v>122046783.079113</v>
      </c>
      <c r="L72" s="53">
        <v>163836162.084113</v>
      </c>
      <c r="M72" s="33" t="s">
        <v>64</v>
      </c>
    </row>
    <row r="73" spans="2:13" ht="18" customHeight="1" x14ac:dyDescent="0.25">
      <c r="B73" s="80" t="s">
        <v>21</v>
      </c>
      <c r="C73" s="42" t="s">
        <v>182</v>
      </c>
      <c r="D73" s="35" t="s">
        <v>69</v>
      </c>
      <c r="E73" s="42" t="s">
        <v>156</v>
      </c>
      <c r="F73" s="80" t="s">
        <v>157</v>
      </c>
      <c r="G73" s="42" t="s">
        <v>158</v>
      </c>
      <c r="H73" s="36">
        <v>9083</v>
      </c>
      <c r="I73" s="38" t="s">
        <v>63</v>
      </c>
      <c r="J73" s="55">
        <v>3964953.51</v>
      </c>
      <c r="K73" s="55">
        <v>8249386.268398</v>
      </c>
      <c r="L73" s="55">
        <v>12214339.778398</v>
      </c>
      <c r="M73" s="38" t="s">
        <v>64</v>
      </c>
    </row>
    <row r="74" spans="2:13" ht="18" customHeight="1" x14ac:dyDescent="0.25">
      <c r="B74" s="79" t="s">
        <v>21</v>
      </c>
      <c r="C74" s="40" t="s">
        <v>182</v>
      </c>
      <c r="D74" s="31" t="s">
        <v>69</v>
      </c>
      <c r="E74" s="40" t="s">
        <v>167</v>
      </c>
      <c r="F74" s="79" t="s">
        <v>168</v>
      </c>
      <c r="G74" s="40" t="s">
        <v>158</v>
      </c>
      <c r="H74" s="32">
        <v>7245</v>
      </c>
      <c r="I74" s="33" t="s">
        <v>63</v>
      </c>
      <c r="J74" s="53">
        <v>3162621.179</v>
      </c>
      <c r="K74" s="53">
        <v>4767536.38608</v>
      </c>
      <c r="L74" s="53">
        <v>7930157.56508</v>
      </c>
      <c r="M74" s="33" t="s">
        <v>64</v>
      </c>
    </row>
    <row r="75" spans="2:13" ht="18" customHeight="1" x14ac:dyDescent="0.25">
      <c r="B75" s="80" t="s">
        <v>21</v>
      </c>
      <c r="C75" s="42" t="s">
        <v>182</v>
      </c>
      <c r="D75" s="35" t="s">
        <v>69</v>
      </c>
      <c r="E75" s="42" t="s">
        <v>169</v>
      </c>
      <c r="F75" s="80" t="s">
        <v>170</v>
      </c>
      <c r="G75" s="42" t="s">
        <v>158</v>
      </c>
      <c r="H75" s="36">
        <v>3534</v>
      </c>
      <c r="I75" s="38" t="s">
        <v>63</v>
      </c>
      <c r="J75" s="55">
        <v>1542678.156</v>
      </c>
      <c r="K75" s="55">
        <v>2826166.502041</v>
      </c>
      <c r="L75" s="55">
        <v>4368844.658041</v>
      </c>
      <c r="M75" s="38" t="s">
        <v>64</v>
      </c>
    </row>
    <row r="76" spans="2:13" ht="18" customHeight="1" x14ac:dyDescent="0.25">
      <c r="B76" s="79" t="s">
        <v>21</v>
      </c>
      <c r="C76" s="40" t="s">
        <v>182</v>
      </c>
      <c r="D76" s="31" t="s">
        <v>69</v>
      </c>
      <c r="E76" s="40" t="s">
        <v>141</v>
      </c>
      <c r="F76" s="79" t="s">
        <v>111</v>
      </c>
      <c r="G76" s="40" t="s">
        <v>112</v>
      </c>
      <c r="H76" s="32">
        <v>35447</v>
      </c>
      <c r="I76" s="33" t="s">
        <v>63</v>
      </c>
      <c r="J76" s="53">
        <v>15473489.719</v>
      </c>
      <c r="K76" s="53">
        <v>44034166.501499</v>
      </c>
      <c r="L76" s="53">
        <v>59507656.220499</v>
      </c>
      <c r="M76" s="33" t="s">
        <v>64</v>
      </c>
    </row>
    <row r="77" spans="2:13" ht="18" customHeight="1" x14ac:dyDescent="0.25">
      <c r="B77" s="80" t="s">
        <v>21</v>
      </c>
      <c r="C77" s="42" t="s">
        <v>182</v>
      </c>
      <c r="D77" s="35" t="s">
        <v>69</v>
      </c>
      <c r="E77" s="42" t="s">
        <v>150</v>
      </c>
      <c r="F77" s="80" t="s">
        <v>151</v>
      </c>
      <c r="G77" s="42" t="s">
        <v>112</v>
      </c>
      <c r="H77" s="36">
        <v>20072</v>
      </c>
      <c r="I77" s="38" t="s">
        <v>63</v>
      </c>
      <c r="J77" s="55">
        <v>8761923.027000001</v>
      </c>
      <c r="K77" s="55">
        <v>23757108.359551</v>
      </c>
      <c r="L77" s="55">
        <v>32519031.386551</v>
      </c>
      <c r="M77" s="38" t="s">
        <v>64</v>
      </c>
    </row>
    <row r="78" spans="2:13" ht="18" customHeight="1" x14ac:dyDescent="0.25">
      <c r="B78" s="79" t="s">
        <v>21</v>
      </c>
      <c r="C78" s="40" t="s">
        <v>182</v>
      </c>
      <c r="D78" s="31" t="s">
        <v>69</v>
      </c>
      <c r="E78" s="40" t="s">
        <v>171</v>
      </c>
      <c r="F78" s="79" t="s">
        <v>172</v>
      </c>
      <c r="G78" s="40" t="s">
        <v>158</v>
      </c>
      <c r="H78" s="32">
        <v>4096</v>
      </c>
      <c r="I78" s="33" t="s">
        <v>63</v>
      </c>
      <c r="J78" s="53">
        <v>1788005.018</v>
      </c>
      <c r="K78" s="53">
        <v>4024275.272099</v>
      </c>
      <c r="L78" s="53">
        <v>5812280.290099</v>
      </c>
      <c r="M78" s="33" t="s">
        <v>64</v>
      </c>
    </row>
    <row r="79" spans="2:13" ht="18" customHeight="1" x14ac:dyDescent="0.25">
      <c r="B79" s="80" t="s">
        <v>21</v>
      </c>
      <c r="C79" s="42" t="s">
        <v>182</v>
      </c>
      <c r="D79" s="35" t="s">
        <v>69</v>
      </c>
      <c r="E79" s="42" t="s">
        <v>173</v>
      </c>
      <c r="F79" s="80" t="s">
        <v>174</v>
      </c>
      <c r="G79" s="42" t="s">
        <v>175</v>
      </c>
      <c r="H79" s="36">
        <v>60</v>
      </c>
      <c r="I79" s="38" t="s">
        <v>63</v>
      </c>
      <c r="J79" s="55">
        <v>26191.481</v>
      </c>
      <c r="K79" s="55">
        <v>43971.9061</v>
      </c>
      <c r="L79" s="55">
        <v>70163.38710000001</v>
      </c>
      <c r="M79" s="38" t="s">
        <v>64</v>
      </c>
    </row>
    <row r="80" spans="2:13" ht="18" customHeight="1" x14ac:dyDescent="0.25">
      <c r="B80" s="79" t="s">
        <v>21</v>
      </c>
      <c r="C80" s="40" t="s">
        <v>182</v>
      </c>
      <c r="D80" s="31" t="s">
        <v>69</v>
      </c>
      <c r="E80" s="40" t="s">
        <v>161</v>
      </c>
      <c r="F80" s="79" t="s">
        <v>162</v>
      </c>
      <c r="G80" s="40" t="s">
        <v>158</v>
      </c>
      <c r="H80" s="32">
        <v>8149</v>
      </c>
      <c r="I80" s="33" t="s">
        <v>63</v>
      </c>
      <c r="J80" s="53">
        <v>3557239.475</v>
      </c>
      <c r="K80" s="53">
        <v>9769850.456504</v>
      </c>
      <c r="L80" s="53">
        <v>13327089.931504</v>
      </c>
      <c r="M80" s="33" t="s">
        <v>64</v>
      </c>
    </row>
    <row r="81" spans="2:13" ht="18" customHeight="1" x14ac:dyDescent="0.25">
      <c r="B81" s="80" t="s">
        <v>21</v>
      </c>
      <c r="C81" s="42" t="s">
        <v>182</v>
      </c>
      <c r="D81" s="35" t="s">
        <v>69</v>
      </c>
      <c r="E81" s="42" t="s">
        <v>163</v>
      </c>
      <c r="F81" s="80" t="s">
        <v>164</v>
      </c>
      <c r="G81" s="42" t="s">
        <v>158</v>
      </c>
      <c r="H81" s="36">
        <v>6640</v>
      </c>
      <c r="I81" s="38" t="s">
        <v>63</v>
      </c>
      <c r="J81" s="55">
        <v>2898523.76</v>
      </c>
      <c r="K81" s="55">
        <v>7453404.308849</v>
      </c>
      <c r="L81" s="55">
        <v>10351928.068849</v>
      </c>
      <c r="M81" s="38" t="s">
        <v>64</v>
      </c>
    </row>
    <row r="82" spans="2:13" ht="18" customHeight="1" x14ac:dyDescent="0.25">
      <c r="B82" s="79" t="s">
        <v>21</v>
      </c>
      <c r="C82" s="40" t="s">
        <v>182</v>
      </c>
      <c r="D82" s="31" t="s">
        <v>69</v>
      </c>
      <c r="E82" s="40" t="s">
        <v>152</v>
      </c>
      <c r="F82" s="79" t="s">
        <v>153</v>
      </c>
      <c r="G82" s="40" t="s">
        <v>108</v>
      </c>
      <c r="H82" s="32">
        <v>19839</v>
      </c>
      <c r="I82" s="33" t="s">
        <v>63</v>
      </c>
      <c r="J82" s="53">
        <v>8660212.783</v>
      </c>
      <c r="K82" s="53">
        <v>25613756.39232</v>
      </c>
      <c r="L82" s="53">
        <v>34273969.17532</v>
      </c>
      <c r="M82" s="33" t="s">
        <v>64</v>
      </c>
    </row>
    <row r="83" spans="2:13" ht="18" customHeight="1" x14ac:dyDescent="0.25">
      <c r="B83" s="80" t="s">
        <v>21</v>
      </c>
      <c r="C83" s="42" t="s">
        <v>182</v>
      </c>
      <c r="D83" s="35" t="s">
        <v>69</v>
      </c>
      <c r="E83" s="42" t="s">
        <v>148</v>
      </c>
      <c r="F83" s="80" t="s">
        <v>149</v>
      </c>
      <c r="G83" s="42" t="s">
        <v>108</v>
      </c>
      <c r="H83" s="36">
        <v>22822</v>
      </c>
      <c r="I83" s="38" t="s">
        <v>63</v>
      </c>
      <c r="J83" s="55">
        <v>9962365.848999999</v>
      </c>
      <c r="K83" s="55">
        <v>30386084.74713</v>
      </c>
      <c r="L83" s="55">
        <v>40348450.59613</v>
      </c>
      <c r="M83" s="38" t="s">
        <v>64</v>
      </c>
    </row>
    <row r="84" spans="2:13" ht="18" customHeight="1" x14ac:dyDescent="0.25">
      <c r="B84" s="79" t="s">
        <v>21</v>
      </c>
      <c r="C84" s="40" t="s">
        <v>182</v>
      </c>
      <c r="D84" s="31" t="s">
        <v>69</v>
      </c>
      <c r="E84" s="40" t="s">
        <v>176</v>
      </c>
      <c r="F84" s="79" t="s">
        <v>177</v>
      </c>
      <c r="G84" s="40" t="s">
        <v>178</v>
      </c>
      <c r="H84" s="32">
        <v>94</v>
      </c>
      <c r="I84" s="33" t="s">
        <v>63</v>
      </c>
      <c r="J84" s="53">
        <v>41033.318</v>
      </c>
      <c r="K84" s="53">
        <v>45463.646079</v>
      </c>
      <c r="L84" s="53">
        <v>86496.964079</v>
      </c>
      <c r="M84" s="33" t="s">
        <v>64</v>
      </c>
    </row>
    <row r="85" spans="2:13" ht="18" customHeight="1" x14ac:dyDescent="0.25">
      <c r="B85" s="80" t="s">
        <v>21</v>
      </c>
      <c r="C85" s="42" t="s">
        <v>205</v>
      </c>
      <c r="D85" s="35" t="s">
        <v>70</v>
      </c>
      <c r="E85" s="42" t="s">
        <v>146</v>
      </c>
      <c r="F85" s="80" t="s">
        <v>120</v>
      </c>
      <c r="G85" s="42" t="s">
        <v>112</v>
      </c>
      <c r="H85" s="36">
        <v>9500</v>
      </c>
      <c r="I85" s="38" t="s">
        <v>63</v>
      </c>
      <c r="J85" s="55">
        <v>5845589.095</v>
      </c>
      <c r="K85" s="55">
        <v>17617103.437259</v>
      </c>
      <c r="L85" s="55">
        <v>23462692.532259</v>
      </c>
      <c r="M85" s="38" t="s">
        <v>64</v>
      </c>
    </row>
    <row r="86" spans="2:13" ht="18" customHeight="1" x14ac:dyDescent="0.25">
      <c r="B86" s="79" t="s">
        <v>21</v>
      </c>
      <c r="C86" s="40" t="s">
        <v>205</v>
      </c>
      <c r="D86" s="31" t="s">
        <v>70</v>
      </c>
      <c r="E86" s="40" t="s">
        <v>154</v>
      </c>
      <c r="F86" s="79" t="s">
        <v>155</v>
      </c>
      <c r="G86" s="40" t="s">
        <v>112</v>
      </c>
      <c r="H86" s="32">
        <v>8043</v>
      </c>
      <c r="I86" s="33" t="s">
        <v>63</v>
      </c>
      <c r="J86" s="53">
        <v>4949060.327</v>
      </c>
      <c r="K86" s="53">
        <v>18297755.822703</v>
      </c>
      <c r="L86" s="53">
        <v>23246816.149703</v>
      </c>
      <c r="M86" s="33" t="s">
        <v>64</v>
      </c>
    </row>
    <row r="87" spans="2:13" ht="18" customHeight="1" x14ac:dyDescent="0.25">
      <c r="B87" s="80" t="s">
        <v>21</v>
      </c>
      <c r="C87" s="42" t="s">
        <v>205</v>
      </c>
      <c r="D87" s="35" t="s">
        <v>70</v>
      </c>
      <c r="E87" s="42" t="s">
        <v>159</v>
      </c>
      <c r="F87" s="80" t="s">
        <v>160</v>
      </c>
      <c r="G87" s="42" t="s">
        <v>112</v>
      </c>
      <c r="H87" s="36">
        <v>3997</v>
      </c>
      <c r="I87" s="38" t="s">
        <v>63</v>
      </c>
      <c r="J87" s="55">
        <v>2459454.698</v>
      </c>
      <c r="K87" s="55">
        <v>8040476.03612</v>
      </c>
      <c r="L87" s="55">
        <v>10499930.73412</v>
      </c>
      <c r="M87" s="38" t="s">
        <v>64</v>
      </c>
    </row>
    <row r="88" spans="2:13" ht="18" customHeight="1" x14ac:dyDescent="0.25">
      <c r="B88" s="79" t="s">
        <v>21</v>
      </c>
      <c r="C88" s="40" t="s">
        <v>205</v>
      </c>
      <c r="D88" s="31" t="s">
        <v>70</v>
      </c>
      <c r="E88" s="40" t="s">
        <v>165</v>
      </c>
      <c r="F88" s="79" t="s">
        <v>166</v>
      </c>
      <c r="G88" s="40" t="s">
        <v>112</v>
      </c>
      <c r="H88" s="32">
        <v>3527</v>
      </c>
      <c r="I88" s="33" t="s">
        <v>63</v>
      </c>
      <c r="J88" s="53">
        <v>2170251.868</v>
      </c>
      <c r="K88" s="53">
        <v>7735797.491362</v>
      </c>
      <c r="L88" s="53">
        <v>9906049.359362001</v>
      </c>
      <c r="M88" s="33" t="s">
        <v>64</v>
      </c>
    </row>
    <row r="89" spans="2:13" ht="18" customHeight="1" x14ac:dyDescent="0.25">
      <c r="B89" s="80" t="s">
        <v>21</v>
      </c>
      <c r="C89" s="42" t="s">
        <v>205</v>
      </c>
      <c r="D89" s="35" t="s">
        <v>70</v>
      </c>
      <c r="E89" s="42" t="s">
        <v>145</v>
      </c>
      <c r="F89" s="80" t="s">
        <v>115</v>
      </c>
      <c r="G89" s="42" t="s">
        <v>112</v>
      </c>
      <c r="H89" s="36">
        <v>13498</v>
      </c>
      <c r="I89" s="38" t="s">
        <v>63</v>
      </c>
      <c r="J89" s="55">
        <v>8305659.122</v>
      </c>
      <c r="K89" s="55">
        <v>28493946.315662</v>
      </c>
      <c r="L89" s="55">
        <v>36799605.437662</v>
      </c>
      <c r="M89" s="38" t="s">
        <v>64</v>
      </c>
    </row>
    <row r="90" spans="2:13" ht="18" customHeight="1" x14ac:dyDescent="0.25">
      <c r="B90" s="79" t="s">
        <v>21</v>
      </c>
      <c r="C90" s="40" t="s">
        <v>205</v>
      </c>
      <c r="D90" s="31" t="s">
        <v>70</v>
      </c>
      <c r="E90" s="40" t="s">
        <v>143</v>
      </c>
      <c r="F90" s="79" t="s">
        <v>114</v>
      </c>
      <c r="G90" s="40" t="s">
        <v>112</v>
      </c>
      <c r="H90" s="32">
        <v>13550</v>
      </c>
      <c r="I90" s="33" t="s">
        <v>63</v>
      </c>
      <c r="J90" s="53">
        <v>8337656.025</v>
      </c>
      <c r="K90" s="53">
        <v>32506969.25698</v>
      </c>
      <c r="L90" s="53">
        <v>40844625.28198</v>
      </c>
      <c r="M90" s="33" t="s">
        <v>64</v>
      </c>
    </row>
    <row r="91" spans="2:13" ht="18" customHeight="1" x14ac:dyDescent="0.25">
      <c r="B91" s="80" t="s">
        <v>21</v>
      </c>
      <c r="C91" s="42" t="s">
        <v>205</v>
      </c>
      <c r="D91" s="35" t="s">
        <v>70</v>
      </c>
      <c r="E91" s="42" t="s">
        <v>147</v>
      </c>
      <c r="F91" s="80" t="s">
        <v>127</v>
      </c>
      <c r="G91" s="42" t="s">
        <v>108</v>
      </c>
      <c r="H91" s="36">
        <v>8246</v>
      </c>
      <c r="I91" s="38" t="s">
        <v>63</v>
      </c>
      <c r="J91" s="55">
        <v>5073971.339</v>
      </c>
      <c r="K91" s="55">
        <v>11137961.628981</v>
      </c>
      <c r="L91" s="55">
        <v>16211932.967981</v>
      </c>
      <c r="M91" s="38" t="s">
        <v>64</v>
      </c>
    </row>
    <row r="92" spans="2:13" ht="18" customHeight="1" x14ac:dyDescent="0.25">
      <c r="B92" s="79" t="s">
        <v>21</v>
      </c>
      <c r="C92" s="40" t="s">
        <v>205</v>
      </c>
      <c r="D92" s="31" t="s">
        <v>70</v>
      </c>
      <c r="E92" s="40" t="s">
        <v>142</v>
      </c>
      <c r="F92" s="79" t="s">
        <v>113</v>
      </c>
      <c r="G92" s="40" t="s">
        <v>108</v>
      </c>
      <c r="H92" s="32">
        <v>41254</v>
      </c>
      <c r="I92" s="33" t="s">
        <v>63</v>
      </c>
      <c r="J92" s="53">
        <v>25384624.487</v>
      </c>
      <c r="K92" s="53">
        <v>51961483.475982</v>
      </c>
      <c r="L92" s="53">
        <v>77346107.962982</v>
      </c>
      <c r="M92" s="33" t="s">
        <v>64</v>
      </c>
    </row>
    <row r="93" spans="2:13" ht="18" customHeight="1" x14ac:dyDescent="0.25">
      <c r="B93" s="80" t="s">
        <v>21</v>
      </c>
      <c r="C93" s="42" t="s">
        <v>205</v>
      </c>
      <c r="D93" s="35" t="s">
        <v>70</v>
      </c>
      <c r="E93" s="42" t="s">
        <v>138</v>
      </c>
      <c r="F93" s="80" t="s">
        <v>107</v>
      </c>
      <c r="G93" s="42" t="s">
        <v>108</v>
      </c>
      <c r="H93" s="36">
        <v>70115</v>
      </c>
      <c r="I93" s="38" t="s">
        <v>63</v>
      </c>
      <c r="J93" s="55">
        <v>43143524.171</v>
      </c>
      <c r="K93" s="55">
        <v>76278651.814527</v>
      </c>
      <c r="L93" s="55">
        <v>119422175.985527</v>
      </c>
      <c r="M93" s="38" t="s">
        <v>64</v>
      </c>
    </row>
    <row r="94" spans="2:13" ht="18" customHeight="1" x14ac:dyDescent="0.25">
      <c r="B94" s="79" t="s">
        <v>21</v>
      </c>
      <c r="C94" s="40" t="s">
        <v>205</v>
      </c>
      <c r="D94" s="31" t="s">
        <v>70</v>
      </c>
      <c r="E94" s="40" t="s">
        <v>119</v>
      </c>
      <c r="F94" s="79" t="s">
        <v>118</v>
      </c>
      <c r="G94" s="40" t="s">
        <v>112</v>
      </c>
      <c r="H94" s="32">
        <v>12851</v>
      </c>
      <c r="I94" s="33" t="s">
        <v>63</v>
      </c>
      <c r="J94" s="53">
        <v>7907543.734</v>
      </c>
      <c r="K94" s="53">
        <v>23502977.133543</v>
      </c>
      <c r="L94" s="53">
        <v>31410520.867543</v>
      </c>
      <c r="M94" s="33" t="s">
        <v>64</v>
      </c>
    </row>
    <row r="95" spans="2:13" ht="18" customHeight="1" x14ac:dyDescent="0.25">
      <c r="B95" s="80" t="s">
        <v>21</v>
      </c>
      <c r="C95" s="42" t="s">
        <v>205</v>
      </c>
      <c r="D95" s="35" t="s">
        <v>70</v>
      </c>
      <c r="E95" s="42" t="s">
        <v>144</v>
      </c>
      <c r="F95" s="80" t="s">
        <v>116</v>
      </c>
      <c r="G95" s="42" t="s">
        <v>112</v>
      </c>
      <c r="H95" s="36">
        <v>13783</v>
      </c>
      <c r="I95" s="38" t="s">
        <v>63</v>
      </c>
      <c r="J95" s="55">
        <v>8481026.797</v>
      </c>
      <c r="K95" s="55">
        <v>22921511.822023</v>
      </c>
      <c r="L95" s="55">
        <v>31402538.619023</v>
      </c>
      <c r="M95" s="38" t="s">
        <v>64</v>
      </c>
    </row>
    <row r="96" spans="2:13" ht="18" customHeight="1" x14ac:dyDescent="0.25">
      <c r="B96" s="79" t="s">
        <v>21</v>
      </c>
      <c r="C96" s="40" t="s">
        <v>205</v>
      </c>
      <c r="D96" s="31" t="s">
        <v>70</v>
      </c>
      <c r="E96" s="40" t="s">
        <v>140</v>
      </c>
      <c r="F96" s="79" t="s">
        <v>110</v>
      </c>
      <c r="G96" s="40" t="s">
        <v>108</v>
      </c>
      <c r="H96" s="32">
        <v>25684</v>
      </c>
      <c r="I96" s="33" t="s">
        <v>63</v>
      </c>
      <c r="J96" s="53">
        <v>15804011.622</v>
      </c>
      <c r="K96" s="53">
        <v>40666269.829623</v>
      </c>
      <c r="L96" s="53">
        <v>56470281.451623</v>
      </c>
      <c r="M96" s="33" t="s">
        <v>64</v>
      </c>
    </row>
    <row r="97" spans="2:13" ht="18" customHeight="1" x14ac:dyDescent="0.25">
      <c r="B97" s="80" t="s">
        <v>21</v>
      </c>
      <c r="C97" s="42" t="s">
        <v>205</v>
      </c>
      <c r="D97" s="35" t="s">
        <v>70</v>
      </c>
      <c r="E97" s="42" t="s">
        <v>139</v>
      </c>
      <c r="F97" s="80" t="s">
        <v>109</v>
      </c>
      <c r="G97" s="42" t="s">
        <v>108</v>
      </c>
      <c r="H97" s="36">
        <v>42954</v>
      </c>
      <c r="I97" s="38" t="s">
        <v>63</v>
      </c>
      <c r="J97" s="55">
        <v>26430677.277</v>
      </c>
      <c r="K97" s="55">
        <v>70935410.385787</v>
      </c>
      <c r="L97" s="55">
        <v>97366087.66278701</v>
      </c>
      <c r="M97" s="38" t="s">
        <v>64</v>
      </c>
    </row>
    <row r="98" spans="2:13" ht="18" customHeight="1" x14ac:dyDescent="0.25">
      <c r="B98" s="79" t="s">
        <v>21</v>
      </c>
      <c r="C98" s="40" t="s">
        <v>205</v>
      </c>
      <c r="D98" s="31" t="s">
        <v>70</v>
      </c>
      <c r="E98" s="40" t="s">
        <v>156</v>
      </c>
      <c r="F98" s="79" t="s">
        <v>157</v>
      </c>
      <c r="G98" s="40" t="s">
        <v>158</v>
      </c>
      <c r="H98" s="32">
        <v>14248</v>
      </c>
      <c r="I98" s="33" t="s">
        <v>63</v>
      </c>
      <c r="J98" s="53">
        <v>8767152.997</v>
      </c>
      <c r="K98" s="53">
        <v>30913058.771483</v>
      </c>
      <c r="L98" s="53">
        <v>39680211.768483</v>
      </c>
      <c r="M98" s="33" t="s">
        <v>64</v>
      </c>
    </row>
    <row r="99" spans="2:13" ht="18" customHeight="1" x14ac:dyDescent="0.25">
      <c r="B99" s="80" t="s">
        <v>21</v>
      </c>
      <c r="C99" s="42" t="s">
        <v>205</v>
      </c>
      <c r="D99" s="35" t="s">
        <v>70</v>
      </c>
      <c r="E99" s="42" t="s">
        <v>167</v>
      </c>
      <c r="F99" s="80" t="s">
        <v>168</v>
      </c>
      <c r="G99" s="42" t="s">
        <v>158</v>
      </c>
      <c r="H99" s="36">
        <v>5981</v>
      </c>
      <c r="I99" s="38" t="s">
        <v>63</v>
      </c>
      <c r="J99" s="55">
        <v>3680259.831</v>
      </c>
      <c r="K99" s="55">
        <v>16627714.955269</v>
      </c>
      <c r="L99" s="55">
        <v>20307974.786269</v>
      </c>
      <c r="M99" s="38" t="s">
        <v>64</v>
      </c>
    </row>
    <row r="100" spans="2:13" ht="18" customHeight="1" x14ac:dyDescent="0.25">
      <c r="B100" s="79" t="s">
        <v>21</v>
      </c>
      <c r="C100" s="40" t="s">
        <v>205</v>
      </c>
      <c r="D100" s="31" t="s">
        <v>70</v>
      </c>
      <c r="E100" s="40" t="s">
        <v>169</v>
      </c>
      <c r="F100" s="79" t="s">
        <v>170</v>
      </c>
      <c r="G100" s="40" t="s">
        <v>158</v>
      </c>
      <c r="H100" s="32">
        <v>5166</v>
      </c>
      <c r="I100" s="33" t="s">
        <v>63</v>
      </c>
      <c r="J100" s="53">
        <v>3178769.817</v>
      </c>
      <c r="K100" s="53">
        <v>10047605.344403</v>
      </c>
      <c r="L100" s="53">
        <v>13226375.161403</v>
      </c>
      <c r="M100" s="33" t="s">
        <v>64</v>
      </c>
    </row>
    <row r="101" spans="2:13" ht="18" customHeight="1" x14ac:dyDescent="0.25">
      <c r="B101" s="80" t="s">
        <v>21</v>
      </c>
      <c r="C101" s="42" t="s">
        <v>205</v>
      </c>
      <c r="D101" s="35" t="s">
        <v>70</v>
      </c>
      <c r="E101" s="42" t="s">
        <v>141</v>
      </c>
      <c r="F101" s="80" t="s">
        <v>111</v>
      </c>
      <c r="G101" s="42" t="s">
        <v>112</v>
      </c>
      <c r="H101" s="36">
        <v>25202</v>
      </c>
      <c r="I101" s="38" t="s">
        <v>63</v>
      </c>
      <c r="J101" s="55">
        <v>15507424.892</v>
      </c>
      <c r="K101" s="55">
        <v>26614191.898593</v>
      </c>
      <c r="L101" s="55">
        <v>42121616.790593</v>
      </c>
      <c r="M101" s="38" t="s">
        <v>64</v>
      </c>
    </row>
    <row r="102" spans="2:13" ht="18" customHeight="1" x14ac:dyDescent="0.25">
      <c r="B102" s="79" t="s">
        <v>21</v>
      </c>
      <c r="C102" s="40" t="s">
        <v>205</v>
      </c>
      <c r="D102" s="31" t="s">
        <v>70</v>
      </c>
      <c r="E102" s="40" t="s">
        <v>150</v>
      </c>
      <c r="F102" s="79" t="s">
        <v>151</v>
      </c>
      <c r="G102" s="40" t="s">
        <v>112</v>
      </c>
      <c r="H102" s="32">
        <v>6789</v>
      </c>
      <c r="I102" s="33" t="s">
        <v>63</v>
      </c>
      <c r="J102" s="53">
        <v>4177442.567</v>
      </c>
      <c r="K102" s="53">
        <v>15286798.723087</v>
      </c>
      <c r="L102" s="53">
        <v>19464241.290087</v>
      </c>
      <c r="M102" s="33" t="s">
        <v>64</v>
      </c>
    </row>
    <row r="103" spans="2:13" ht="18" customHeight="1" x14ac:dyDescent="0.25">
      <c r="B103" s="80" t="s">
        <v>21</v>
      </c>
      <c r="C103" s="42" t="s">
        <v>205</v>
      </c>
      <c r="D103" s="35" t="s">
        <v>70</v>
      </c>
      <c r="E103" s="42" t="s">
        <v>171</v>
      </c>
      <c r="F103" s="80" t="s">
        <v>172</v>
      </c>
      <c r="G103" s="42" t="s">
        <v>158</v>
      </c>
      <c r="H103" s="36">
        <v>3388</v>
      </c>
      <c r="I103" s="38" t="s">
        <v>63</v>
      </c>
      <c r="J103" s="55">
        <v>2084721.672</v>
      </c>
      <c r="K103" s="55">
        <v>6386705.467259</v>
      </c>
      <c r="L103" s="55">
        <v>8471427.139258999</v>
      </c>
      <c r="M103" s="38" t="s">
        <v>64</v>
      </c>
    </row>
    <row r="104" spans="2:13" ht="18" customHeight="1" x14ac:dyDescent="0.25">
      <c r="B104" s="79" t="s">
        <v>21</v>
      </c>
      <c r="C104" s="40" t="s">
        <v>205</v>
      </c>
      <c r="D104" s="31" t="s">
        <v>70</v>
      </c>
      <c r="E104" s="40" t="s">
        <v>173</v>
      </c>
      <c r="F104" s="79" t="s">
        <v>174</v>
      </c>
      <c r="G104" s="40" t="s">
        <v>175</v>
      </c>
      <c r="H104" s="32">
        <v>160</v>
      </c>
      <c r="I104" s="33" t="s">
        <v>63</v>
      </c>
      <c r="J104" s="53">
        <v>98452.026</v>
      </c>
      <c r="K104" s="53">
        <v>12454.854188</v>
      </c>
      <c r="L104" s="53">
        <v>110906.880188</v>
      </c>
      <c r="M104" s="33" t="s">
        <v>64</v>
      </c>
    </row>
    <row r="105" spans="2:13" ht="18" customHeight="1" x14ac:dyDescent="0.25">
      <c r="B105" s="80" t="s">
        <v>21</v>
      </c>
      <c r="C105" s="42" t="s">
        <v>205</v>
      </c>
      <c r="D105" s="35" t="s">
        <v>70</v>
      </c>
      <c r="E105" s="42" t="s">
        <v>161</v>
      </c>
      <c r="F105" s="80" t="s">
        <v>162</v>
      </c>
      <c r="G105" s="42" t="s">
        <v>158</v>
      </c>
      <c r="H105" s="36">
        <v>9198</v>
      </c>
      <c r="I105" s="38" t="s">
        <v>63</v>
      </c>
      <c r="J105" s="55">
        <v>5659760.896</v>
      </c>
      <c r="K105" s="55">
        <v>12831593.42284</v>
      </c>
      <c r="L105" s="55">
        <v>18491354.31884</v>
      </c>
      <c r="M105" s="38" t="s">
        <v>64</v>
      </c>
    </row>
    <row r="106" spans="2:13" ht="18" customHeight="1" x14ac:dyDescent="0.25">
      <c r="B106" s="79" t="s">
        <v>21</v>
      </c>
      <c r="C106" s="40" t="s">
        <v>205</v>
      </c>
      <c r="D106" s="31" t="s">
        <v>70</v>
      </c>
      <c r="E106" s="40" t="s">
        <v>163</v>
      </c>
      <c r="F106" s="79" t="s">
        <v>164</v>
      </c>
      <c r="G106" s="40" t="s">
        <v>158</v>
      </c>
      <c r="H106" s="32">
        <v>8623</v>
      </c>
      <c r="I106" s="33" t="s">
        <v>63</v>
      </c>
      <c r="J106" s="53">
        <v>5305948.923</v>
      </c>
      <c r="K106" s="53">
        <v>15054991.681767</v>
      </c>
      <c r="L106" s="53">
        <v>20360940.604767</v>
      </c>
      <c r="M106" s="33" t="s">
        <v>64</v>
      </c>
    </row>
    <row r="107" spans="2:13" ht="18" customHeight="1" x14ac:dyDescent="0.25">
      <c r="B107" s="80" t="s">
        <v>21</v>
      </c>
      <c r="C107" s="42" t="s">
        <v>205</v>
      </c>
      <c r="D107" s="35" t="s">
        <v>70</v>
      </c>
      <c r="E107" s="42" t="s">
        <v>152</v>
      </c>
      <c r="F107" s="80" t="s">
        <v>153</v>
      </c>
      <c r="G107" s="42" t="s">
        <v>108</v>
      </c>
      <c r="H107" s="36">
        <v>9334</v>
      </c>
      <c r="I107" s="38" t="s">
        <v>63</v>
      </c>
      <c r="J107" s="55">
        <v>5743445.119</v>
      </c>
      <c r="K107" s="55">
        <v>16217672.973359</v>
      </c>
      <c r="L107" s="55">
        <v>21961118.092359</v>
      </c>
      <c r="M107" s="38" t="s">
        <v>64</v>
      </c>
    </row>
    <row r="108" spans="2:13" ht="18" customHeight="1" x14ac:dyDescent="0.25">
      <c r="B108" s="79" t="s">
        <v>21</v>
      </c>
      <c r="C108" s="40" t="s">
        <v>205</v>
      </c>
      <c r="D108" s="31" t="s">
        <v>70</v>
      </c>
      <c r="E108" s="40" t="s">
        <v>148</v>
      </c>
      <c r="F108" s="79" t="s">
        <v>149</v>
      </c>
      <c r="G108" s="40" t="s">
        <v>108</v>
      </c>
      <c r="H108" s="32">
        <v>12016</v>
      </c>
      <c r="I108" s="33" t="s">
        <v>63</v>
      </c>
      <c r="J108" s="53">
        <v>7393747.222</v>
      </c>
      <c r="K108" s="53">
        <v>19487264.768989</v>
      </c>
      <c r="L108" s="53">
        <v>26881011.990989</v>
      </c>
      <c r="M108" s="33" t="s">
        <v>64</v>
      </c>
    </row>
    <row r="109" spans="2:13" ht="18" customHeight="1" x14ac:dyDescent="0.25">
      <c r="B109" s="80" t="s">
        <v>21</v>
      </c>
      <c r="C109" s="42" t="s">
        <v>205</v>
      </c>
      <c r="D109" s="35" t="s">
        <v>70</v>
      </c>
      <c r="E109" s="42" t="s">
        <v>176</v>
      </c>
      <c r="F109" s="80" t="s">
        <v>177</v>
      </c>
      <c r="G109" s="42" t="s">
        <v>178</v>
      </c>
      <c r="H109" s="36">
        <v>182</v>
      </c>
      <c r="I109" s="38" t="s">
        <v>63</v>
      </c>
      <c r="J109" s="55">
        <v>111989.181</v>
      </c>
      <c r="K109" s="55">
        <v>35956.493209</v>
      </c>
      <c r="L109" s="55">
        <v>147945.674209</v>
      </c>
      <c r="M109" s="38" t="s">
        <v>64</v>
      </c>
    </row>
    <row r="110" spans="2:13" ht="18" customHeight="1" x14ac:dyDescent="0.25">
      <c r="B110" s="79" t="s">
        <v>21</v>
      </c>
      <c r="C110" s="40" t="s">
        <v>206</v>
      </c>
      <c r="D110" s="31" t="s">
        <v>71</v>
      </c>
      <c r="E110" s="40" t="s">
        <v>146</v>
      </c>
      <c r="F110" s="79" t="s">
        <v>120</v>
      </c>
      <c r="G110" s="40" t="s">
        <v>112</v>
      </c>
      <c r="H110" s="32">
        <v>12546</v>
      </c>
      <c r="I110" s="33" t="s">
        <v>63</v>
      </c>
      <c r="J110" s="53">
        <v>10703223.93</v>
      </c>
      <c r="K110" s="53">
        <v>31811979.599127</v>
      </c>
      <c r="L110" s="53">
        <v>42515203.529127</v>
      </c>
      <c r="M110" s="33" t="s">
        <v>64</v>
      </c>
    </row>
    <row r="111" spans="2:13" ht="18" customHeight="1" x14ac:dyDescent="0.25">
      <c r="B111" s="80" t="s">
        <v>21</v>
      </c>
      <c r="C111" s="42" t="s">
        <v>206</v>
      </c>
      <c r="D111" s="35" t="s">
        <v>71</v>
      </c>
      <c r="E111" s="42" t="s">
        <v>154</v>
      </c>
      <c r="F111" s="80" t="s">
        <v>155</v>
      </c>
      <c r="G111" s="42" t="s">
        <v>112</v>
      </c>
      <c r="H111" s="36">
        <v>9578</v>
      </c>
      <c r="I111" s="38" t="s">
        <v>63</v>
      </c>
      <c r="J111" s="55">
        <v>8171168.407</v>
      </c>
      <c r="K111" s="55">
        <v>23561292.609923</v>
      </c>
      <c r="L111" s="55">
        <v>31732461.016923</v>
      </c>
      <c r="M111" s="38" t="s">
        <v>64</v>
      </c>
    </row>
    <row r="112" spans="2:13" ht="18" customHeight="1" x14ac:dyDescent="0.25">
      <c r="B112" s="79" t="s">
        <v>21</v>
      </c>
      <c r="C112" s="40" t="s">
        <v>206</v>
      </c>
      <c r="D112" s="31" t="s">
        <v>71</v>
      </c>
      <c r="E112" s="40" t="s">
        <v>159</v>
      </c>
      <c r="F112" s="79" t="s">
        <v>160</v>
      </c>
      <c r="G112" s="40" t="s">
        <v>112</v>
      </c>
      <c r="H112" s="32">
        <v>6080</v>
      </c>
      <c r="I112" s="33" t="s">
        <v>63</v>
      </c>
      <c r="J112" s="53">
        <v>5186960.107</v>
      </c>
      <c r="K112" s="53">
        <v>15210168.558096</v>
      </c>
      <c r="L112" s="53">
        <v>20397128.665096</v>
      </c>
      <c r="M112" s="33" t="s">
        <v>64</v>
      </c>
    </row>
    <row r="113" spans="2:13" ht="18" customHeight="1" x14ac:dyDescent="0.25">
      <c r="B113" s="80" t="s">
        <v>21</v>
      </c>
      <c r="C113" s="42" t="s">
        <v>206</v>
      </c>
      <c r="D113" s="35" t="s">
        <v>71</v>
      </c>
      <c r="E113" s="42" t="s">
        <v>165</v>
      </c>
      <c r="F113" s="80" t="s">
        <v>166</v>
      </c>
      <c r="G113" s="42" t="s">
        <v>112</v>
      </c>
      <c r="H113" s="36">
        <v>5496</v>
      </c>
      <c r="I113" s="38" t="s">
        <v>63</v>
      </c>
      <c r="J113" s="55">
        <v>4688738.939</v>
      </c>
      <c r="K113" s="55">
        <v>13135419.93848</v>
      </c>
      <c r="L113" s="55">
        <v>17824158.87748</v>
      </c>
      <c r="M113" s="38" t="s">
        <v>64</v>
      </c>
    </row>
    <row r="114" spans="2:13" ht="18" customHeight="1" x14ac:dyDescent="0.25">
      <c r="B114" s="79" t="s">
        <v>21</v>
      </c>
      <c r="C114" s="40" t="s">
        <v>206</v>
      </c>
      <c r="D114" s="31" t="s">
        <v>71</v>
      </c>
      <c r="E114" s="40" t="s">
        <v>145</v>
      </c>
      <c r="F114" s="79" t="s">
        <v>115</v>
      </c>
      <c r="G114" s="40" t="s">
        <v>112</v>
      </c>
      <c r="H114" s="32">
        <v>19078</v>
      </c>
      <c r="I114" s="33" t="s">
        <v>63</v>
      </c>
      <c r="J114" s="53">
        <v>16275793.576</v>
      </c>
      <c r="K114" s="53">
        <v>45420693.039894</v>
      </c>
      <c r="L114" s="53">
        <v>61696486.615894</v>
      </c>
      <c r="M114" s="33" t="s">
        <v>64</v>
      </c>
    </row>
    <row r="115" spans="2:13" ht="18" customHeight="1" x14ac:dyDescent="0.25">
      <c r="B115" s="80" t="s">
        <v>21</v>
      </c>
      <c r="C115" s="42" t="s">
        <v>206</v>
      </c>
      <c r="D115" s="35" t="s">
        <v>71</v>
      </c>
      <c r="E115" s="42" t="s">
        <v>143</v>
      </c>
      <c r="F115" s="80" t="s">
        <v>114</v>
      </c>
      <c r="G115" s="42" t="s">
        <v>112</v>
      </c>
      <c r="H115" s="36">
        <v>19767</v>
      </c>
      <c r="I115" s="38" t="s">
        <v>63</v>
      </c>
      <c r="J115" s="55">
        <v>16863592.181</v>
      </c>
      <c r="K115" s="55">
        <v>46261144.823543</v>
      </c>
      <c r="L115" s="55">
        <v>63124737.004543</v>
      </c>
      <c r="M115" s="38" t="s">
        <v>64</v>
      </c>
    </row>
    <row r="116" spans="2:13" ht="18" customHeight="1" x14ac:dyDescent="0.25">
      <c r="B116" s="79" t="s">
        <v>21</v>
      </c>
      <c r="C116" s="40" t="s">
        <v>206</v>
      </c>
      <c r="D116" s="31" t="s">
        <v>71</v>
      </c>
      <c r="E116" s="40" t="s">
        <v>147</v>
      </c>
      <c r="F116" s="79" t="s">
        <v>127</v>
      </c>
      <c r="G116" s="40" t="s">
        <v>108</v>
      </c>
      <c r="H116" s="32">
        <v>8988</v>
      </c>
      <c r="I116" s="33" t="s">
        <v>63</v>
      </c>
      <c r="J116" s="53">
        <v>7667828.529</v>
      </c>
      <c r="K116" s="53">
        <v>21647369.339464</v>
      </c>
      <c r="L116" s="53">
        <v>29315197.868464</v>
      </c>
      <c r="M116" s="33" t="s">
        <v>64</v>
      </c>
    </row>
    <row r="117" spans="2:13" ht="18" customHeight="1" x14ac:dyDescent="0.25">
      <c r="B117" s="80" t="s">
        <v>21</v>
      </c>
      <c r="C117" s="42" t="s">
        <v>206</v>
      </c>
      <c r="D117" s="35" t="s">
        <v>71</v>
      </c>
      <c r="E117" s="42" t="s">
        <v>142</v>
      </c>
      <c r="F117" s="80" t="s">
        <v>113</v>
      </c>
      <c r="G117" s="42" t="s">
        <v>108</v>
      </c>
      <c r="H117" s="36">
        <v>15924</v>
      </c>
      <c r="I117" s="38" t="s">
        <v>63</v>
      </c>
      <c r="J117" s="55">
        <v>13585058.019</v>
      </c>
      <c r="K117" s="55">
        <v>33214223.131165</v>
      </c>
      <c r="L117" s="55">
        <v>46799281.150165</v>
      </c>
      <c r="M117" s="38" t="s">
        <v>64</v>
      </c>
    </row>
    <row r="118" spans="2:13" ht="18" customHeight="1" x14ac:dyDescent="0.25">
      <c r="B118" s="79" t="s">
        <v>21</v>
      </c>
      <c r="C118" s="40" t="s">
        <v>206</v>
      </c>
      <c r="D118" s="31" t="s">
        <v>71</v>
      </c>
      <c r="E118" s="40" t="s">
        <v>138</v>
      </c>
      <c r="F118" s="79" t="s">
        <v>107</v>
      </c>
      <c r="G118" s="40" t="s">
        <v>108</v>
      </c>
      <c r="H118" s="32">
        <v>49238</v>
      </c>
      <c r="I118" s="33" t="s">
        <v>63</v>
      </c>
      <c r="J118" s="53">
        <v>42005845.689</v>
      </c>
      <c r="K118" s="53">
        <v>120211726.471444</v>
      </c>
      <c r="L118" s="53">
        <v>162217572.160444</v>
      </c>
      <c r="M118" s="33" t="s">
        <v>64</v>
      </c>
    </row>
    <row r="119" spans="2:13" ht="18" customHeight="1" x14ac:dyDescent="0.25">
      <c r="B119" s="80" t="s">
        <v>21</v>
      </c>
      <c r="C119" s="42" t="s">
        <v>206</v>
      </c>
      <c r="D119" s="35" t="s">
        <v>71</v>
      </c>
      <c r="E119" s="42" t="s">
        <v>119</v>
      </c>
      <c r="F119" s="80" t="s">
        <v>118</v>
      </c>
      <c r="G119" s="42" t="s">
        <v>112</v>
      </c>
      <c r="H119" s="36">
        <v>15278</v>
      </c>
      <c r="I119" s="38" t="s">
        <v>63</v>
      </c>
      <c r="J119" s="55">
        <v>13033943.509</v>
      </c>
      <c r="K119" s="55">
        <v>34956354.113669</v>
      </c>
      <c r="L119" s="55">
        <v>47990297.622669</v>
      </c>
      <c r="M119" s="38" t="s">
        <v>64</v>
      </c>
    </row>
    <row r="120" spans="2:13" ht="18" customHeight="1" x14ac:dyDescent="0.25">
      <c r="B120" s="79" t="s">
        <v>21</v>
      </c>
      <c r="C120" s="40" t="s">
        <v>206</v>
      </c>
      <c r="D120" s="31" t="s">
        <v>71</v>
      </c>
      <c r="E120" s="40" t="s">
        <v>144</v>
      </c>
      <c r="F120" s="79" t="s">
        <v>116</v>
      </c>
      <c r="G120" s="40" t="s">
        <v>112</v>
      </c>
      <c r="H120" s="32">
        <v>13873</v>
      </c>
      <c r="I120" s="33" t="s">
        <v>63</v>
      </c>
      <c r="J120" s="53">
        <v>11835312.101</v>
      </c>
      <c r="K120" s="53">
        <v>35032787.63845</v>
      </c>
      <c r="L120" s="53">
        <v>46868099.73945</v>
      </c>
      <c r="M120" s="33" t="s">
        <v>64</v>
      </c>
    </row>
    <row r="121" spans="2:13" ht="18" customHeight="1" x14ac:dyDescent="0.25">
      <c r="B121" s="80" t="s">
        <v>21</v>
      </c>
      <c r="C121" s="42" t="s">
        <v>206</v>
      </c>
      <c r="D121" s="35" t="s">
        <v>71</v>
      </c>
      <c r="E121" s="42" t="s">
        <v>140</v>
      </c>
      <c r="F121" s="80" t="s">
        <v>110</v>
      </c>
      <c r="G121" s="42" t="s">
        <v>108</v>
      </c>
      <c r="H121" s="36">
        <v>20527</v>
      </c>
      <c r="I121" s="38" t="s">
        <v>63</v>
      </c>
      <c r="J121" s="55">
        <v>17511962.193</v>
      </c>
      <c r="K121" s="55">
        <v>52363419.26827</v>
      </c>
      <c r="L121" s="55">
        <v>69875381.46127</v>
      </c>
      <c r="M121" s="38" t="s">
        <v>64</v>
      </c>
    </row>
    <row r="122" spans="2:13" ht="18" customHeight="1" x14ac:dyDescent="0.25">
      <c r="B122" s="79" t="s">
        <v>21</v>
      </c>
      <c r="C122" s="40" t="s">
        <v>206</v>
      </c>
      <c r="D122" s="31" t="s">
        <v>71</v>
      </c>
      <c r="E122" s="40" t="s">
        <v>139</v>
      </c>
      <c r="F122" s="79" t="s">
        <v>109</v>
      </c>
      <c r="G122" s="40" t="s">
        <v>108</v>
      </c>
      <c r="H122" s="32">
        <v>35853</v>
      </c>
      <c r="I122" s="33" t="s">
        <v>63</v>
      </c>
      <c r="J122" s="53">
        <v>30586855.381</v>
      </c>
      <c r="K122" s="53">
        <v>87848439.375893</v>
      </c>
      <c r="L122" s="53">
        <v>118435294.756893</v>
      </c>
      <c r="M122" s="33" t="s">
        <v>64</v>
      </c>
    </row>
    <row r="123" spans="2:13" ht="18" customHeight="1" x14ac:dyDescent="0.25">
      <c r="B123" s="80" t="s">
        <v>21</v>
      </c>
      <c r="C123" s="42" t="s">
        <v>206</v>
      </c>
      <c r="D123" s="35" t="s">
        <v>71</v>
      </c>
      <c r="E123" s="42" t="s">
        <v>156</v>
      </c>
      <c r="F123" s="80" t="s">
        <v>157</v>
      </c>
      <c r="G123" s="42" t="s">
        <v>158</v>
      </c>
      <c r="H123" s="36">
        <v>4341</v>
      </c>
      <c r="I123" s="38" t="s">
        <v>63</v>
      </c>
      <c r="J123" s="55">
        <v>3703387.146</v>
      </c>
      <c r="K123" s="55">
        <v>10645383.805744</v>
      </c>
      <c r="L123" s="55">
        <v>14348770.951744</v>
      </c>
      <c r="M123" s="38" t="s">
        <v>64</v>
      </c>
    </row>
    <row r="124" spans="2:13" ht="18" customHeight="1" x14ac:dyDescent="0.25">
      <c r="B124" s="79" t="s">
        <v>21</v>
      </c>
      <c r="C124" s="40" t="s">
        <v>206</v>
      </c>
      <c r="D124" s="31" t="s">
        <v>71</v>
      </c>
      <c r="E124" s="40" t="s">
        <v>167</v>
      </c>
      <c r="F124" s="79" t="s">
        <v>168</v>
      </c>
      <c r="G124" s="40" t="s">
        <v>158</v>
      </c>
      <c r="H124" s="32">
        <v>2839</v>
      </c>
      <c r="I124" s="33" t="s">
        <v>63</v>
      </c>
      <c r="J124" s="53">
        <v>2422003.246</v>
      </c>
      <c r="K124" s="53">
        <v>7113638.583639</v>
      </c>
      <c r="L124" s="53">
        <v>9535641.829639001</v>
      </c>
      <c r="M124" s="33" t="s">
        <v>64</v>
      </c>
    </row>
    <row r="125" spans="2:13" ht="18" customHeight="1" x14ac:dyDescent="0.25">
      <c r="B125" s="80" t="s">
        <v>21</v>
      </c>
      <c r="C125" s="42" t="s">
        <v>206</v>
      </c>
      <c r="D125" s="35" t="s">
        <v>71</v>
      </c>
      <c r="E125" s="42" t="s">
        <v>169</v>
      </c>
      <c r="F125" s="80" t="s">
        <v>170</v>
      </c>
      <c r="G125" s="42" t="s">
        <v>158</v>
      </c>
      <c r="H125" s="36">
        <v>2041</v>
      </c>
      <c r="I125" s="38" t="s">
        <v>63</v>
      </c>
      <c r="J125" s="55">
        <v>1741214.732</v>
      </c>
      <c r="K125" s="55">
        <v>4897306.941052</v>
      </c>
      <c r="L125" s="55">
        <v>6638521.673052</v>
      </c>
      <c r="M125" s="38" t="s">
        <v>64</v>
      </c>
    </row>
    <row r="126" spans="2:13" ht="18" customHeight="1" x14ac:dyDescent="0.25">
      <c r="B126" s="79" t="s">
        <v>21</v>
      </c>
      <c r="C126" s="40" t="s">
        <v>206</v>
      </c>
      <c r="D126" s="31" t="s">
        <v>71</v>
      </c>
      <c r="E126" s="40" t="s">
        <v>141</v>
      </c>
      <c r="F126" s="79" t="s">
        <v>111</v>
      </c>
      <c r="G126" s="40" t="s">
        <v>112</v>
      </c>
      <c r="H126" s="32">
        <v>22443</v>
      </c>
      <c r="I126" s="33" t="s">
        <v>63</v>
      </c>
      <c r="J126" s="53">
        <v>19146537.121</v>
      </c>
      <c r="K126" s="53">
        <v>49748322.645145</v>
      </c>
      <c r="L126" s="53">
        <v>68894859.76614501</v>
      </c>
      <c r="M126" s="33" t="s">
        <v>64</v>
      </c>
    </row>
    <row r="127" spans="2:13" ht="18" customHeight="1" x14ac:dyDescent="0.25">
      <c r="B127" s="80" t="s">
        <v>21</v>
      </c>
      <c r="C127" s="42" t="s">
        <v>206</v>
      </c>
      <c r="D127" s="35" t="s">
        <v>71</v>
      </c>
      <c r="E127" s="42" t="s">
        <v>150</v>
      </c>
      <c r="F127" s="80" t="s">
        <v>151</v>
      </c>
      <c r="G127" s="42" t="s">
        <v>112</v>
      </c>
      <c r="H127" s="36">
        <v>15919</v>
      </c>
      <c r="I127" s="38" t="s">
        <v>63</v>
      </c>
      <c r="J127" s="55">
        <v>13580792.422</v>
      </c>
      <c r="K127" s="55">
        <v>37746717.608677</v>
      </c>
      <c r="L127" s="55">
        <v>51327510.030677</v>
      </c>
      <c r="M127" s="38" t="s">
        <v>64</v>
      </c>
    </row>
    <row r="128" spans="2:13" ht="18" customHeight="1" x14ac:dyDescent="0.25">
      <c r="B128" s="79" t="s">
        <v>21</v>
      </c>
      <c r="C128" s="40" t="s">
        <v>206</v>
      </c>
      <c r="D128" s="31" t="s">
        <v>71</v>
      </c>
      <c r="E128" s="40" t="s">
        <v>171</v>
      </c>
      <c r="F128" s="79" t="s">
        <v>172</v>
      </c>
      <c r="G128" s="40" t="s">
        <v>158</v>
      </c>
      <c r="H128" s="32">
        <v>2357</v>
      </c>
      <c r="I128" s="33" t="s">
        <v>63</v>
      </c>
      <c r="J128" s="53">
        <v>2010800.161</v>
      </c>
      <c r="K128" s="53">
        <v>6019357.792299</v>
      </c>
      <c r="L128" s="53">
        <v>8030157.953299</v>
      </c>
      <c r="M128" s="33" t="s">
        <v>64</v>
      </c>
    </row>
    <row r="129" spans="2:13" ht="18" customHeight="1" x14ac:dyDescent="0.25">
      <c r="B129" s="80" t="s">
        <v>21</v>
      </c>
      <c r="C129" s="42" t="s">
        <v>206</v>
      </c>
      <c r="D129" s="35" t="s">
        <v>71</v>
      </c>
      <c r="E129" s="42" t="s">
        <v>173</v>
      </c>
      <c r="F129" s="80" t="s">
        <v>174</v>
      </c>
      <c r="G129" s="42" t="s">
        <v>175</v>
      </c>
      <c r="H129" s="36">
        <v>14</v>
      </c>
      <c r="I129" s="38" t="s">
        <v>63</v>
      </c>
      <c r="J129" s="55">
        <v>11943.657</v>
      </c>
      <c r="K129" s="55">
        <v>30769.734697</v>
      </c>
      <c r="L129" s="55">
        <v>42713.391697</v>
      </c>
      <c r="M129" s="38" t="s">
        <v>64</v>
      </c>
    </row>
    <row r="130" spans="2:13" ht="18" customHeight="1" x14ac:dyDescent="0.25">
      <c r="B130" s="79" t="s">
        <v>21</v>
      </c>
      <c r="C130" s="40" t="s">
        <v>206</v>
      </c>
      <c r="D130" s="31" t="s">
        <v>71</v>
      </c>
      <c r="E130" s="40" t="s">
        <v>161</v>
      </c>
      <c r="F130" s="79" t="s">
        <v>162</v>
      </c>
      <c r="G130" s="40" t="s">
        <v>158</v>
      </c>
      <c r="H130" s="32">
        <v>4088</v>
      </c>
      <c r="I130" s="33" t="s">
        <v>63</v>
      </c>
      <c r="J130" s="53">
        <v>3487548.177</v>
      </c>
      <c r="K130" s="53">
        <v>9413241.661643</v>
      </c>
      <c r="L130" s="53">
        <v>12900789.838643</v>
      </c>
      <c r="M130" s="33" t="s">
        <v>64</v>
      </c>
    </row>
    <row r="131" spans="2:13" ht="18" customHeight="1" x14ac:dyDescent="0.25">
      <c r="B131" s="80" t="s">
        <v>21</v>
      </c>
      <c r="C131" s="42" t="s">
        <v>206</v>
      </c>
      <c r="D131" s="35" t="s">
        <v>71</v>
      </c>
      <c r="E131" s="42" t="s">
        <v>163</v>
      </c>
      <c r="F131" s="80" t="s">
        <v>164</v>
      </c>
      <c r="G131" s="42" t="s">
        <v>158</v>
      </c>
      <c r="H131" s="36">
        <v>3032</v>
      </c>
      <c r="I131" s="38" t="s">
        <v>63</v>
      </c>
      <c r="J131" s="55">
        <v>2586655.105</v>
      </c>
      <c r="K131" s="55">
        <v>7297834.519276</v>
      </c>
      <c r="L131" s="55">
        <v>9884489.624275999</v>
      </c>
      <c r="M131" s="38" t="s">
        <v>64</v>
      </c>
    </row>
    <row r="132" spans="2:13" ht="18" customHeight="1" x14ac:dyDescent="0.25">
      <c r="B132" s="79" t="s">
        <v>21</v>
      </c>
      <c r="C132" s="40" t="s">
        <v>206</v>
      </c>
      <c r="D132" s="31" t="s">
        <v>71</v>
      </c>
      <c r="E132" s="40" t="s">
        <v>152</v>
      </c>
      <c r="F132" s="79" t="s">
        <v>153</v>
      </c>
      <c r="G132" s="40" t="s">
        <v>108</v>
      </c>
      <c r="H132" s="32">
        <v>7379</v>
      </c>
      <c r="I132" s="33" t="s">
        <v>63</v>
      </c>
      <c r="J132" s="53">
        <v>6295160.958</v>
      </c>
      <c r="K132" s="53">
        <v>18400476.505106</v>
      </c>
      <c r="L132" s="53">
        <v>24695637.463106</v>
      </c>
      <c r="M132" s="33" t="s">
        <v>64</v>
      </c>
    </row>
    <row r="133" spans="2:13" ht="18" customHeight="1" x14ac:dyDescent="0.25">
      <c r="B133" s="80" t="s">
        <v>21</v>
      </c>
      <c r="C133" s="42" t="s">
        <v>206</v>
      </c>
      <c r="D133" s="35" t="s">
        <v>71</v>
      </c>
      <c r="E133" s="42" t="s">
        <v>148</v>
      </c>
      <c r="F133" s="80" t="s">
        <v>149</v>
      </c>
      <c r="G133" s="42" t="s">
        <v>108</v>
      </c>
      <c r="H133" s="36">
        <v>7061</v>
      </c>
      <c r="I133" s="38" t="s">
        <v>63</v>
      </c>
      <c r="J133" s="55">
        <v>6023869.297</v>
      </c>
      <c r="K133" s="55">
        <v>17290131.833197</v>
      </c>
      <c r="L133" s="55">
        <v>23314001.130197</v>
      </c>
      <c r="M133" s="38" t="s">
        <v>64</v>
      </c>
    </row>
    <row r="134" spans="2:13" ht="18" customHeight="1" x14ac:dyDescent="0.25">
      <c r="B134" s="79" t="s">
        <v>21</v>
      </c>
      <c r="C134" s="40" t="s">
        <v>206</v>
      </c>
      <c r="D134" s="31" t="s">
        <v>71</v>
      </c>
      <c r="E134" s="40" t="s">
        <v>176</v>
      </c>
      <c r="F134" s="79" t="s">
        <v>177</v>
      </c>
      <c r="G134" s="40" t="s">
        <v>178</v>
      </c>
      <c r="H134" s="32">
        <v>105</v>
      </c>
      <c r="I134" s="33" t="s">
        <v>63</v>
      </c>
      <c r="J134" s="53">
        <v>89577.436</v>
      </c>
      <c r="K134" s="53">
        <v>34047.255108</v>
      </c>
      <c r="L134" s="53">
        <v>123624.691108</v>
      </c>
      <c r="M134" s="33" t="s">
        <v>64</v>
      </c>
    </row>
    <row r="135" spans="2:13" ht="18" customHeight="1" x14ac:dyDescent="0.25">
      <c r="B135" s="80" t="s">
        <v>21</v>
      </c>
      <c r="C135" s="42" t="s">
        <v>207</v>
      </c>
      <c r="D135" s="35" t="s">
        <v>75</v>
      </c>
      <c r="E135" s="42" t="s">
        <v>146</v>
      </c>
      <c r="F135" s="80" t="s">
        <v>120</v>
      </c>
      <c r="G135" s="42" t="s">
        <v>112</v>
      </c>
      <c r="H135" s="36">
        <v>3362</v>
      </c>
      <c r="I135" s="38" t="s">
        <v>63</v>
      </c>
      <c r="J135" s="55">
        <v>2963211.307</v>
      </c>
      <c r="K135" s="55">
        <v>8796856.513866</v>
      </c>
      <c r="L135" s="55">
        <v>11760067.820866</v>
      </c>
      <c r="M135" s="38" t="s">
        <v>64</v>
      </c>
    </row>
    <row r="136" spans="2:13" ht="18" customHeight="1" x14ac:dyDescent="0.25">
      <c r="B136" s="79" t="s">
        <v>21</v>
      </c>
      <c r="C136" s="40" t="s">
        <v>207</v>
      </c>
      <c r="D136" s="31" t="s">
        <v>75</v>
      </c>
      <c r="E136" s="40" t="s">
        <v>154</v>
      </c>
      <c r="F136" s="79" t="s">
        <v>155</v>
      </c>
      <c r="G136" s="40" t="s">
        <v>112</v>
      </c>
      <c r="H136" s="32">
        <v>1792</v>
      </c>
      <c r="I136" s="33" t="s">
        <v>63</v>
      </c>
      <c r="J136" s="53">
        <v>1579439.226</v>
      </c>
      <c r="K136" s="53">
        <v>4598235.532432</v>
      </c>
      <c r="L136" s="53">
        <v>6177674.758432</v>
      </c>
      <c r="M136" s="33" t="s">
        <v>64</v>
      </c>
    </row>
    <row r="137" spans="2:13" ht="18" customHeight="1" x14ac:dyDescent="0.25">
      <c r="B137" s="80" t="s">
        <v>21</v>
      </c>
      <c r="C137" s="42" t="s">
        <v>207</v>
      </c>
      <c r="D137" s="35" t="s">
        <v>75</v>
      </c>
      <c r="E137" s="42" t="s">
        <v>159</v>
      </c>
      <c r="F137" s="80" t="s">
        <v>160</v>
      </c>
      <c r="G137" s="42" t="s">
        <v>112</v>
      </c>
      <c r="H137" s="36">
        <v>1439</v>
      </c>
      <c r="I137" s="38" t="s">
        <v>63</v>
      </c>
      <c r="J137" s="55">
        <v>1268310.848</v>
      </c>
      <c r="K137" s="55">
        <v>3773555.586295</v>
      </c>
      <c r="L137" s="55">
        <v>5041866.434295</v>
      </c>
      <c r="M137" s="38" t="s">
        <v>64</v>
      </c>
    </row>
    <row r="138" spans="2:13" ht="18" customHeight="1" x14ac:dyDescent="0.25">
      <c r="B138" s="79" t="s">
        <v>21</v>
      </c>
      <c r="C138" s="40" t="s">
        <v>207</v>
      </c>
      <c r="D138" s="31" t="s">
        <v>75</v>
      </c>
      <c r="E138" s="40" t="s">
        <v>165</v>
      </c>
      <c r="F138" s="79" t="s">
        <v>166</v>
      </c>
      <c r="G138" s="40" t="s">
        <v>112</v>
      </c>
      <c r="H138" s="32">
        <v>859</v>
      </c>
      <c r="I138" s="33" t="s">
        <v>63</v>
      </c>
      <c r="J138" s="53">
        <v>757108.42</v>
      </c>
      <c r="K138" s="53">
        <v>2127384.467991</v>
      </c>
      <c r="L138" s="53">
        <v>2884492.887991</v>
      </c>
      <c r="M138" s="33" t="s">
        <v>64</v>
      </c>
    </row>
    <row r="139" spans="2:13" ht="18" customHeight="1" x14ac:dyDescent="0.25">
      <c r="B139" s="80" t="s">
        <v>21</v>
      </c>
      <c r="C139" s="42" t="s">
        <v>207</v>
      </c>
      <c r="D139" s="35" t="s">
        <v>75</v>
      </c>
      <c r="E139" s="42" t="s">
        <v>145</v>
      </c>
      <c r="F139" s="80" t="s">
        <v>115</v>
      </c>
      <c r="G139" s="42" t="s">
        <v>112</v>
      </c>
      <c r="H139" s="36">
        <v>2546</v>
      </c>
      <c r="I139" s="38" t="s">
        <v>63</v>
      </c>
      <c r="J139" s="55">
        <v>2244002.38</v>
      </c>
      <c r="K139" s="55">
        <v>6580658.2507</v>
      </c>
      <c r="L139" s="55">
        <v>8824660.6307</v>
      </c>
      <c r="M139" s="38" t="s">
        <v>64</v>
      </c>
    </row>
    <row r="140" spans="2:13" ht="18" customHeight="1" x14ac:dyDescent="0.25">
      <c r="B140" s="79" t="s">
        <v>21</v>
      </c>
      <c r="C140" s="40" t="s">
        <v>207</v>
      </c>
      <c r="D140" s="31" t="s">
        <v>75</v>
      </c>
      <c r="E140" s="40" t="s">
        <v>143</v>
      </c>
      <c r="F140" s="79" t="s">
        <v>114</v>
      </c>
      <c r="G140" s="40" t="s">
        <v>112</v>
      </c>
      <c r="H140" s="32">
        <v>2441</v>
      </c>
      <c r="I140" s="33" t="s">
        <v>63</v>
      </c>
      <c r="J140" s="53">
        <v>2151457.111</v>
      </c>
      <c r="K140" s="53">
        <v>6359441.785956</v>
      </c>
      <c r="L140" s="53">
        <v>8510898.896956</v>
      </c>
      <c r="M140" s="33" t="s">
        <v>64</v>
      </c>
    </row>
    <row r="141" spans="2:13" ht="18" customHeight="1" x14ac:dyDescent="0.25">
      <c r="B141" s="80" t="s">
        <v>21</v>
      </c>
      <c r="C141" s="42" t="s">
        <v>207</v>
      </c>
      <c r="D141" s="35" t="s">
        <v>75</v>
      </c>
      <c r="E141" s="42" t="s">
        <v>147</v>
      </c>
      <c r="F141" s="80" t="s">
        <v>127</v>
      </c>
      <c r="G141" s="42" t="s">
        <v>108</v>
      </c>
      <c r="H141" s="36">
        <v>2363</v>
      </c>
      <c r="I141" s="38" t="s">
        <v>63</v>
      </c>
      <c r="J141" s="55">
        <v>2082709.194</v>
      </c>
      <c r="K141" s="55">
        <v>6266019.168668</v>
      </c>
      <c r="L141" s="55">
        <v>8348728.362668</v>
      </c>
      <c r="M141" s="38" t="s">
        <v>64</v>
      </c>
    </row>
    <row r="142" spans="2:13" ht="18" customHeight="1" x14ac:dyDescent="0.25">
      <c r="B142" s="79" t="s">
        <v>21</v>
      </c>
      <c r="C142" s="40" t="s">
        <v>207</v>
      </c>
      <c r="D142" s="31" t="s">
        <v>75</v>
      </c>
      <c r="E142" s="40" t="s">
        <v>142</v>
      </c>
      <c r="F142" s="79" t="s">
        <v>113</v>
      </c>
      <c r="G142" s="40" t="s">
        <v>108</v>
      </c>
      <c r="H142" s="32">
        <v>4417</v>
      </c>
      <c r="I142" s="33" t="s">
        <v>63</v>
      </c>
      <c r="J142" s="53">
        <v>3893070.902</v>
      </c>
      <c r="K142" s="53">
        <v>9928307.642746</v>
      </c>
      <c r="L142" s="53">
        <v>13821378.544746</v>
      </c>
      <c r="M142" s="33" t="s">
        <v>64</v>
      </c>
    </row>
    <row r="143" spans="2:13" ht="18" customHeight="1" x14ac:dyDescent="0.25">
      <c r="B143" s="80" t="s">
        <v>21</v>
      </c>
      <c r="C143" s="42" t="s">
        <v>207</v>
      </c>
      <c r="D143" s="35" t="s">
        <v>75</v>
      </c>
      <c r="E143" s="42" t="s">
        <v>138</v>
      </c>
      <c r="F143" s="80" t="s">
        <v>107</v>
      </c>
      <c r="G143" s="42" t="s">
        <v>108</v>
      </c>
      <c r="H143" s="36">
        <v>13876</v>
      </c>
      <c r="I143" s="38" t="s">
        <v>63</v>
      </c>
      <c r="J143" s="55">
        <v>12230077.424</v>
      </c>
      <c r="K143" s="55">
        <v>35738878.825444</v>
      </c>
      <c r="L143" s="55">
        <v>47968956.249444</v>
      </c>
      <c r="M143" s="38" t="s">
        <v>64</v>
      </c>
    </row>
    <row r="144" spans="2:13" ht="18" customHeight="1" x14ac:dyDescent="0.25">
      <c r="B144" s="79" t="s">
        <v>21</v>
      </c>
      <c r="C144" s="40" t="s">
        <v>207</v>
      </c>
      <c r="D144" s="31" t="s">
        <v>75</v>
      </c>
      <c r="E144" s="40" t="s">
        <v>119</v>
      </c>
      <c r="F144" s="79" t="s">
        <v>118</v>
      </c>
      <c r="G144" s="40" t="s">
        <v>112</v>
      </c>
      <c r="H144" s="32">
        <v>2382</v>
      </c>
      <c r="I144" s="33" t="s">
        <v>63</v>
      </c>
      <c r="J144" s="53">
        <v>2099455.49</v>
      </c>
      <c r="K144" s="53">
        <v>5925541.806771</v>
      </c>
      <c r="L144" s="53">
        <v>8024997.296771</v>
      </c>
      <c r="M144" s="33" t="s">
        <v>64</v>
      </c>
    </row>
    <row r="145" spans="2:13" ht="18" customHeight="1" x14ac:dyDescent="0.25">
      <c r="B145" s="80" t="s">
        <v>21</v>
      </c>
      <c r="C145" s="42" t="s">
        <v>207</v>
      </c>
      <c r="D145" s="35" t="s">
        <v>75</v>
      </c>
      <c r="E145" s="42" t="s">
        <v>144</v>
      </c>
      <c r="F145" s="80" t="s">
        <v>116</v>
      </c>
      <c r="G145" s="42" t="s">
        <v>112</v>
      </c>
      <c r="H145" s="36">
        <v>3163</v>
      </c>
      <c r="I145" s="38" t="s">
        <v>63</v>
      </c>
      <c r="J145" s="55">
        <v>2787815.986</v>
      </c>
      <c r="K145" s="55">
        <v>8128446.083293</v>
      </c>
      <c r="L145" s="55">
        <v>10916262.069293</v>
      </c>
      <c r="M145" s="38" t="s">
        <v>64</v>
      </c>
    </row>
    <row r="146" spans="2:13" ht="18" customHeight="1" x14ac:dyDescent="0.25">
      <c r="B146" s="79" t="s">
        <v>21</v>
      </c>
      <c r="C146" s="40" t="s">
        <v>207</v>
      </c>
      <c r="D146" s="31" t="s">
        <v>75</v>
      </c>
      <c r="E146" s="40" t="s">
        <v>140</v>
      </c>
      <c r="F146" s="79" t="s">
        <v>110</v>
      </c>
      <c r="G146" s="40" t="s">
        <v>108</v>
      </c>
      <c r="H146" s="32">
        <v>4321</v>
      </c>
      <c r="I146" s="33" t="s">
        <v>63</v>
      </c>
      <c r="J146" s="53">
        <v>3808458.094</v>
      </c>
      <c r="K146" s="53">
        <v>11211945.55211</v>
      </c>
      <c r="L146" s="53">
        <v>15020403.64611</v>
      </c>
      <c r="M146" s="33" t="s">
        <v>64</v>
      </c>
    </row>
    <row r="147" spans="2:13" ht="18" customHeight="1" x14ac:dyDescent="0.25">
      <c r="B147" s="80" t="s">
        <v>21</v>
      </c>
      <c r="C147" s="42" t="s">
        <v>207</v>
      </c>
      <c r="D147" s="35" t="s">
        <v>75</v>
      </c>
      <c r="E147" s="42" t="s">
        <v>139</v>
      </c>
      <c r="F147" s="80" t="s">
        <v>109</v>
      </c>
      <c r="G147" s="42" t="s">
        <v>108</v>
      </c>
      <c r="H147" s="36">
        <v>9805</v>
      </c>
      <c r="I147" s="38" t="s">
        <v>63</v>
      </c>
      <c r="J147" s="55">
        <v>8641965.193</v>
      </c>
      <c r="K147" s="55">
        <v>24187951.629456</v>
      </c>
      <c r="L147" s="55">
        <v>32829916.822456</v>
      </c>
      <c r="M147" s="38" t="s">
        <v>64</v>
      </c>
    </row>
    <row r="148" spans="2:13" ht="18" customHeight="1" x14ac:dyDescent="0.25">
      <c r="B148" s="79" t="s">
        <v>21</v>
      </c>
      <c r="C148" s="40" t="s">
        <v>207</v>
      </c>
      <c r="D148" s="31" t="s">
        <v>75</v>
      </c>
      <c r="E148" s="40" t="s">
        <v>156</v>
      </c>
      <c r="F148" s="79" t="s">
        <v>157</v>
      </c>
      <c r="G148" s="40" t="s">
        <v>158</v>
      </c>
      <c r="H148" s="32">
        <v>1554</v>
      </c>
      <c r="I148" s="33" t="s">
        <v>63</v>
      </c>
      <c r="J148" s="53">
        <v>1369669.944</v>
      </c>
      <c r="K148" s="53">
        <v>4244292.721245</v>
      </c>
      <c r="L148" s="53">
        <v>5613962.665245</v>
      </c>
      <c r="M148" s="33" t="s">
        <v>64</v>
      </c>
    </row>
    <row r="149" spans="2:13" ht="18" customHeight="1" x14ac:dyDescent="0.25">
      <c r="B149" s="80" t="s">
        <v>21</v>
      </c>
      <c r="C149" s="42" t="s">
        <v>207</v>
      </c>
      <c r="D149" s="35" t="s">
        <v>75</v>
      </c>
      <c r="E149" s="42" t="s">
        <v>167</v>
      </c>
      <c r="F149" s="80" t="s">
        <v>168</v>
      </c>
      <c r="G149" s="42" t="s">
        <v>158</v>
      </c>
      <c r="H149" s="36">
        <v>1192</v>
      </c>
      <c r="I149" s="38" t="s">
        <v>63</v>
      </c>
      <c r="J149" s="55">
        <v>1050609.127</v>
      </c>
      <c r="K149" s="55">
        <v>2986896.350229</v>
      </c>
      <c r="L149" s="55">
        <v>4037505.477229</v>
      </c>
      <c r="M149" s="38" t="s">
        <v>64</v>
      </c>
    </row>
    <row r="150" spans="2:13" ht="18" customHeight="1" x14ac:dyDescent="0.25">
      <c r="B150" s="79" t="s">
        <v>21</v>
      </c>
      <c r="C150" s="40" t="s">
        <v>207</v>
      </c>
      <c r="D150" s="31" t="s">
        <v>75</v>
      </c>
      <c r="E150" s="40" t="s">
        <v>169</v>
      </c>
      <c r="F150" s="79" t="s">
        <v>170</v>
      </c>
      <c r="G150" s="40" t="s">
        <v>158</v>
      </c>
      <c r="H150" s="32">
        <v>676</v>
      </c>
      <c r="I150" s="33" t="s">
        <v>63</v>
      </c>
      <c r="J150" s="53">
        <v>595815.243</v>
      </c>
      <c r="K150" s="53">
        <v>1617383.499501</v>
      </c>
      <c r="L150" s="53">
        <v>2213198.742501</v>
      </c>
      <c r="M150" s="33" t="s">
        <v>64</v>
      </c>
    </row>
    <row r="151" spans="2:13" ht="18" customHeight="1" x14ac:dyDescent="0.25">
      <c r="B151" s="80" t="s">
        <v>21</v>
      </c>
      <c r="C151" s="42" t="s">
        <v>207</v>
      </c>
      <c r="D151" s="35" t="s">
        <v>75</v>
      </c>
      <c r="E151" s="42" t="s">
        <v>141</v>
      </c>
      <c r="F151" s="80" t="s">
        <v>111</v>
      </c>
      <c r="G151" s="42" t="s">
        <v>112</v>
      </c>
      <c r="H151" s="36">
        <v>6418</v>
      </c>
      <c r="I151" s="38" t="s">
        <v>63</v>
      </c>
      <c r="J151" s="55">
        <v>5656719.287</v>
      </c>
      <c r="K151" s="55">
        <v>15233006.513788</v>
      </c>
      <c r="L151" s="55">
        <v>20889725.800788</v>
      </c>
      <c r="M151" s="38" t="s">
        <v>64</v>
      </c>
    </row>
    <row r="152" spans="2:13" ht="18" customHeight="1" x14ac:dyDescent="0.25">
      <c r="B152" s="79" t="s">
        <v>21</v>
      </c>
      <c r="C152" s="40" t="s">
        <v>207</v>
      </c>
      <c r="D152" s="31" t="s">
        <v>75</v>
      </c>
      <c r="E152" s="40" t="s">
        <v>150</v>
      </c>
      <c r="F152" s="79" t="s">
        <v>151</v>
      </c>
      <c r="G152" s="40" t="s">
        <v>112</v>
      </c>
      <c r="H152" s="32">
        <v>1840</v>
      </c>
      <c r="I152" s="33" t="s">
        <v>63</v>
      </c>
      <c r="J152" s="53">
        <v>1621745.625</v>
      </c>
      <c r="K152" s="53">
        <v>4799002.089863</v>
      </c>
      <c r="L152" s="53">
        <v>6420747.714863</v>
      </c>
      <c r="M152" s="33" t="s">
        <v>64</v>
      </c>
    </row>
    <row r="153" spans="2:13" ht="18" customHeight="1" x14ac:dyDescent="0.25">
      <c r="B153" s="80" t="s">
        <v>21</v>
      </c>
      <c r="C153" s="42" t="s">
        <v>207</v>
      </c>
      <c r="D153" s="35" t="s">
        <v>75</v>
      </c>
      <c r="E153" s="42" t="s">
        <v>171</v>
      </c>
      <c r="F153" s="80" t="s">
        <v>172</v>
      </c>
      <c r="G153" s="42" t="s">
        <v>158</v>
      </c>
      <c r="H153" s="36">
        <v>818</v>
      </c>
      <c r="I153" s="38" t="s">
        <v>63</v>
      </c>
      <c r="J153" s="55">
        <v>720971.694</v>
      </c>
      <c r="K153" s="55">
        <v>2106809.010121</v>
      </c>
      <c r="L153" s="55">
        <v>2827780.704121</v>
      </c>
      <c r="M153" s="38" t="s">
        <v>64</v>
      </c>
    </row>
    <row r="154" spans="2:13" ht="18" customHeight="1" x14ac:dyDescent="0.25">
      <c r="B154" s="79" t="s">
        <v>21</v>
      </c>
      <c r="C154" s="40" t="s">
        <v>207</v>
      </c>
      <c r="D154" s="31" t="s">
        <v>75</v>
      </c>
      <c r="E154" s="40" t="s">
        <v>173</v>
      </c>
      <c r="F154" s="79" t="s">
        <v>174</v>
      </c>
      <c r="G154" s="40" t="s">
        <v>175</v>
      </c>
      <c r="H154" s="32">
        <v>8</v>
      </c>
      <c r="I154" s="33" t="s">
        <v>63</v>
      </c>
      <c r="J154" s="53">
        <v>7051.067</v>
      </c>
      <c r="K154" s="53">
        <v>14154.595693</v>
      </c>
      <c r="L154" s="53">
        <v>21205.662693</v>
      </c>
      <c r="M154" s="33" t="s">
        <v>64</v>
      </c>
    </row>
    <row r="155" spans="2:13" ht="18" customHeight="1" x14ac:dyDescent="0.25">
      <c r="B155" s="80" t="s">
        <v>21</v>
      </c>
      <c r="C155" s="42" t="s">
        <v>207</v>
      </c>
      <c r="D155" s="35" t="s">
        <v>75</v>
      </c>
      <c r="E155" s="42" t="s">
        <v>161</v>
      </c>
      <c r="F155" s="80" t="s">
        <v>162</v>
      </c>
      <c r="G155" s="42" t="s">
        <v>158</v>
      </c>
      <c r="H155" s="36">
        <v>1362</v>
      </c>
      <c r="I155" s="38" t="s">
        <v>63</v>
      </c>
      <c r="J155" s="55">
        <v>1200444.317</v>
      </c>
      <c r="K155" s="55">
        <v>3485151.299801</v>
      </c>
      <c r="L155" s="55">
        <v>4685595.616801</v>
      </c>
      <c r="M155" s="38" t="s">
        <v>64</v>
      </c>
    </row>
    <row r="156" spans="2:13" ht="18" customHeight="1" x14ac:dyDescent="0.25">
      <c r="B156" s="79" t="s">
        <v>21</v>
      </c>
      <c r="C156" s="40" t="s">
        <v>207</v>
      </c>
      <c r="D156" s="31" t="s">
        <v>75</v>
      </c>
      <c r="E156" s="40" t="s">
        <v>163</v>
      </c>
      <c r="F156" s="79" t="s">
        <v>164</v>
      </c>
      <c r="G156" s="40" t="s">
        <v>158</v>
      </c>
      <c r="H156" s="32">
        <v>1209</v>
      </c>
      <c r="I156" s="33" t="s">
        <v>63</v>
      </c>
      <c r="J156" s="53">
        <v>1065592.641</v>
      </c>
      <c r="K156" s="53">
        <v>3198404.811658</v>
      </c>
      <c r="L156" s="53">
        <v>4263997.452658</v>
      </c>
      <c r="M156" s="33" t="s">
        <v>64</v>
      </c>
    </row>
    <row r="157" spans="2:13" ht="18" customHeight="1" x14ac:dyDescent="0.25">
      <c r="B157" s="80" t="s">
        <v>21</v>
      </c>
      <c r="C157" s="42" t="s">
        <v>207</v>
      </c>
      <c r="D157" s="35" t="s">
        <v>75</v>
      </c>
      <c r="E157" s="42" t="s">
        <v>152</v>
      </c>
      <c r="F157" s="80" t="s">
        <v>153</v>
      </c>
      <c r="G157" s="42" t="s">
        <v>108</v>
      </c>
      <c r="H157" s="36">
        <v>2313</v>
      </c>
      <c r="I157" s="38" t="s">
        <v>63</v>
      </c>
      <c r="J157" s="55">
        <v>2038640.031</v>
      </c>
      <c r="K157" s="55">
        <v>5832060.866935</v>
      </c>
      <c r="L157" s="55">
        <v>7870700.897935</v>
      </c>
      <c r="M157" s="38" t="s">
        <v>64</v>
      </c>
    </row>
    <row r="158" spans="2:13" ht="18" customHeight="1" x14ac:dyDescent="0.25">
      <c r="B158" s="79" t="s">
        <v>21</v>
      </c>
      <c r="C158" s="40" t="s">
        <v>207</v>
      </c>
      <c r="D158" s="31" t="s">
        <v>75</v>
      </c>
      <c r="E158" s="40" t="s">
        <v>148</v>
      </c>
      <c r="F158" s="79" t="s">
        <v>149</v>
      </c>
      <c r="G158" s="40" t="s">
        <v>108</v>
      </c>
      <c r="H158" s="32">
        <v>2533</v>
      </c>
      <c r="I158" s="33" t="s">
        <v>63</v>
      </c>
      <c r="J158" s="53">
        <v>2232544.404</v>
      </c>
      <c r="K158" s="53">
        <v>6461873.734311</v>
      </c>
      <c r="L158" s="53">
        <v>8694418.138311001</v>
      </c>
      <c r="M158" s="33" t="s">
        <v>64</v>
      </c>
    </row>
    <row r="159" spans="2:13" ht="18" customHeight="1" x14ac:dyDescent="0.25">
      <c r="B159" s="80" t="s">
        <v>21</v>
      </c>
      <c r="C159" s="42" t="s">
        <v>207</v>
      </c>
      <c r="D159" s="35" t="s">
        <v>75</v>
      </c>
      <c r="E159" s="42" t="s">
        <v>176</v>
      </c>
      <c r="F159" s="80" t="s">
        <v>177</v>
      </c>
      <c r="G159" s="42" t="s">
        <v>178</v>
      </c>
      <c r="H159" s="36">
        <v>11</v>
      </c>
      <c r="I159" s="38" t="s">
        <v>63</v>
      </c>
      <c r="J159" s="55">
        <v>9695.218000000001</v>
      </c>
      <c r="K159" s="55">
        <v>8219.651126999999</v>
      </c>
      <c r="L159" s="55">
        <v>17914.869127</v>
      </c>
      <c r="M159" s="38" t="s">
        <v>64</v>
      </c>
    </row>
    <row r="160" spans="2:13" ht="18" customHeight="1" x14ac:dyDescent="0.25">
      <c r="B160" s="79" t="s">
        <v>21</v>
      </c>
      <c r="C160" s="40" t="s">
        <v>192</v>
      </c>
      <c r="D160" s="31" t="s">
        <v>79</v>
      </c>
      <c r="E160" s="40" t="s">
        <v>146</v>
      </c>
      <c r="F160" s="79" t="s">
        <v>120</v>
      </c>
      <c r="G160" s="40" t="s">
        <v>112</v>
      </c>
      <c r="H160" s="32">
        <v>0</v>
      </c>
      <c r="I160" s="33" t="s">
        <v>63</v>
      </c>
      <c r="J160" s="53">
        <v>0</v>
      </c>
      <c r="K160" s="53">
        <v>12583.291733</v>
      </c>
      <c r="L160" s="53">
        <v>12583.291733</v>
      </c>
      <c r="M160" s="33" t="s">
        <v>64</v>
      </c>
    </row>
    <row r="161" spans="2:13" ht="18" customHeight="1" x14ac:dyDescent="0.25">
      <c r="B161" s="80" t="s">
        <v>21</v>
      </c>
      <c r="C161" s="42" t="s">
        <v>192</v>
      </c>
      <c r="D161" s="35" t="s">
        <v>79</v>
      </c>
      <c r="E161" s="42" t="s">
        <v>154</v>
      </c>
      <c r="F161" s="80" t="s">
        <v>155</v>
      </c>
      <c r="G161" s="42" t="s">
        <v>112</v>
      </c>
      <c r="H161" s="36">
        <v>0</v>
      </c>
      <c r="I161" s="38" t="s">
        <v>63</v>
      </c>
      <c r="J161" s="55">
        <v>0</v>
      </c>
      <c r="K161" s="55">
        <v>1562.355014</v>
      </c>
      <c r="L161" s="55">
        <v>1562.355014</v>
      </c>
      <c r="M161" s="38" t="s">
        <v>64</v>
      </c>
    </row>
    <row r="162" spans="2:13" ht="18" customHeight="1" x14ac:dyDescent="0.25">
      <c r="B162" s="79" t="s">
        <v>21</v>
      </c>
      <c r="C162" s="40" t="s">
        <v>192</v>
      </c>
      <c r="D162" s="31" t="s">
        <v>79</v>
      </c>
      <c r="E162" s="40" t="s">
        <v>159</v>
      </c>
      <c r="F162" s="79" t="s">
        <v>160</v>
      </c>
      <c r="G162" s="40" t="s">
        <v>112</v>
      </c>
      <c r="H162" s="32">
        <v>0</v>
      </c>
      <c r="I162" s="33" t="s">
        <v>63</v>
      </c>
      <c r="J162" s="53">
        <v>0</v>
      </c>
      <c r="K162" s="53">
        <v>3124.710028</v>
      </c>
      <c r="L162" s="53">
        <v>3124.710028</v>
      </c>
      <c r="M162" s="33" t="s">
        <v>64</v>
      </c>
    </row>
    <row r="163" spans="2:13" ht="18" customHeight="1" x14ac:dyDescent="0.25">
      <c r="B163" s="80" t="s">
        <v>21</v>
      </c>
      <c r="C163" s="42" t="s">
        <v>192</v>
      </c>
      <c r="D163" s="35" t="s">
        <v>79</v>
      </c>
      <c r="E163" s="42" t="s">
        <v>165</v>
      </c>
      <c r="F163" s="80" t="s">
        <v>166</v>
      </c>
      <c r="G163" s="42" t="s">
        <v>112</v>
      </c>
      <c r="H163" s="36">
        <v>0</v>
      </c>
      <c r="I163" s="38" t="s">
        <v>63</v>
      </c>
      <c r="J163" s="55">
        <v>0</v>
      </c>
      <c r="K163" s="55">
        <v>2195.742182</v>
      </c>
      <c r="L163" s="55">
        <v>2195.742182</v>
      </c>
      <c r="M163" s="38" t="s">
        <v>64</v>
      </c>
    </row>
    <row r="164" spans="2:13" ht="18" customHeight="1" x14ac:dyDescent="0.25">
      <c r="B164" s="79" t="s">
        <v>21</v>
      </c>
      <c r="C164" s="40" t="s">
        <v>192</v>
      </c>
      <c r="D164" s="31" t="s">
        <v>79</v>
      </c>
      <c r="E164" s="40" t="s">
        <v>145</v>
      </c>
      <c r="F164" s="79" t="s">
        <v>115</v>
      </c>
      <c r="G164" s="40" t="s">
        <v>112</v>
      </c>
      <c r="H164" s="32">
        <v>0</v>
      </c>
      <c r="I164" s="33" t="s">
        <v>63</v>
      </c>
      <c r="J164" s="53">
        <v>0</v>
      </c>
      <c r="K164" s="53">
        <v>2660.226105</v>
      </c>
      <c r="L164" s="53">
        <v>2660.226105</v>
      </c>
      <c r="M164" s="33" t="s">
        <v>64</v>
      </c>
    </row>
    <row r="165" spans="2:13" ht="18" customHeight="1" x14ac:dyDescent="0.25">
      <c r="B165" s="80" t="s">
        <v>21</v>
      </c>
      <c r="C165" s="42" t="s">
        <v>192</v>
      </c>
      <c r="D165" s="35" t="s">
        <v>79</v>
      </c>
      <c r="E165" s="42" t="s">
        <v>143</v>
      </c>
      <c r="F165" s="80" t="s">
        <v>114</v>
      </c>
      <c r="G165" s="42" t="s">
        <v>112</v>
      </c>
      <c r="H165" s="36">
        <v>0</v>
      </c>
      <c r="I165" s="38" t="s">
        <v>63</v>
      </c>
      <c r="J165" s="55">
        <v>0</v>
      </c>
      <c r="K165" s="55">
        <v>2913.580972</v>
      </c>
      <c r="L165" s="55">
        <v>2913.580972</v>
      </c>
      <c r="M165" s="38" t="s">
        <v>64</v>
      </c>
    </row>
    <row r="166" spans="2:13" ht="18" customHeight="1" x14ac:dyDescent="0.25">
      <c r="B166" s="79" t="s">
        <v>21</v>
      </c>
      <c r="C166" s="40" t="s">
        <v>192</v>
      </c>
      <c r="D166" s="31" t="s">
        <v>79</v>
      </c>
      <c r="E166" s="40" t="s">
        <v>147</v>
      </c>
      <c r="F166" s="79" t="s">
        <v>127</v>
      </c>
      <c r="G166" s="40" t="s">
        <v>108</v>
      </c>
      <c r="H166" s="32">
        <v>0</v>
      </c>
      <c r="I166" s="33" t="s">
        <v>63</v>
      </c>
      <c r="J166" s="53">
        <v>0</v>
      </c>
      <c r="K166" s="53">
        <v>13343.356335</v>
      </c>
      <c r="L166" s="53">
        <v>13343.356335</v>
      </c>
      <c r="M166" s="33" t="s">
        <v>64</v>
      </c>
    </row>
    <row r="167" spans="2:13" ht="18" customHeight="1" x14ac:dyDescent="0.25">
      <c r="B167" s="80" t="s">
        <v>21</v>
      </c>
      <c r="C167" s="42" t="s">
        <v>192</v>
      </c>
      <c r="D167" s="35" t="s">
        <v>79</v>
      </c>
      <c r="E167" s="42" t="s">
        <v>142</v>
      </c>
      <c r="F167" s="80" t="s">
        <v>113</v>
      </c>
      <c r="G167" s="42" t="s">
        <v>108</v>
      </c>
      <c r="H167" s="36">
        <v>0</v>
      </c>
      <c r="I167" s="38" t="s">
        <v>63</v>
      </c>
      <c r="J167" s="55">
        <v>0</v>
      </c>
      <c r="K167" s="55">
        <v>5616.032888</v>
      </c>
      <c r="L167" s="55">
        <v>5616.032888</v>
      </c>
      <c r="M167" s="38" t="s">
        <v>64</v>
      </c>
    </row>
    <row r="168" spans="2:13" ht="18" customHeight="1" x14ac:dyDescent="0.25">
      <c r="B168" s="79" t="s">
        <v>21</v>
      </c>
      <c r="C168" s="40" t="s">
        <v>192</v>
      </c>
      <c r="D168" s="31" t="s">
        <v>79</v>
      </c>
      <c r="E168" s="40" t="s">
        <v>138</v>
      </c>
      <c r="F168" s="79" t="s">
        <v>107</v>
      </c>
      <c r="G168" s="40" t="s">
        <v>108</v>
      </c>
      <c r="H168" s="32">
        <v>0</v>
      </c>
      <c r="I168" s="33" t="s">
        <v>63</v>
      </c>
      <c r="J168" s="53">
        <v>0</v>
      </c>
      <c r="K168" s="53">
        <v>99821.817644</v>
      </c>
      <c r="L168" s="53">
        <v>99821.817644</v>
      </c>
      <c r="M168" s="33" t="s">
        <v>64</v>
      </c>
    </row>
    <row r="169" spans="2:13" ht="18" customHeight="1" x14ac:dyDescent="0.25">
      <c r="B169" s="80" t="s">
        <v>21</v>
      </c>
      <c r="C169" s="42" t="s">
        <v>192</v>
      </c>
      <c r="D169" s="35" t="s">
        <v>79</v>
      </c>
      <c r="E169" s="42" t="s">
        <v>119</v>
      </c>
      <c r="F169" s="80" t="s">
        <v>118</v>
      </c>
      <c r="G169" s="42" t="s">
        <v>112</v>
      </c>
      <c r="H169" s="36">
        <v>0</v>
      </c>
      <c r="I169" s="38" t="s">
        <v>63</v>
      </c>
      <c r="J169" s="55">
        <v>0</v>
      </c>
      <c r="K169" s="55">
        <v>2153.51637</v>
      </c>
      <c r="L169" s="55">
        <v>2153.51637</v>
      </c>
      <c r="M169" s="38" t="s">
        <v>64</v>
      </c>
    </row>
    <row r="170" spans="2:13" ht="18" customHeight="1" x14ac:dyDescent="0.25">
      <c r="B170" s="79" t="s">
        <v>21</v>
      </c>
      <c r="C170" s="40" t="s">
        <v>192</v>
      </c>
      <c r="D170" s="31" t="s">
        <v>79</v>
      </c>
      <c r="E170" s="40" t="s">
        <v>144</v>
      </c>
      <c r="F170" s="79" t="s">
        <v>116</v>
      </c>
      <c r="G170" s="40" t="s">
        <v>112</v>
      </c>
      <c r="H170" s="32">
        <v>0</v>
      </c>
      <c r="I170" s="33" t="s">
        <v>63</v>
      </c>
      <c r="J170" s="53">
        <v>0</v>
      </c>
      <c r="K170" s="53">
        <v>2829.129349</v>
      </c>
      <c r="L170" s="53">
        <v>2829.129349</v>
      </c>
      <c r="M170" s="33" t="s">
        <v>64</v>
      </c>
    </row>
    <row r="171" spans="2:13" ht="18" customHeight="1" x14ac:dyDescent="0.25">
      <c r="B171" s="80" t="s">
        <v>21</v>
      </c>
      <c r="C171" s="42" t="s">
        <v>192</v>
      </c>
      <c r="D171" s="35" t="s">
        <v>79</v>
      </c>
      <c r="E171" s="42" t="s">
        <v>140</v>
      </c>
      <c r="F171" s="80" t="s">
        <v>110</v>
      </c>
      <c r="G171" s="42" t="s">
        <v>108</v>
      </c>
      <c r="H171" s="36">
        <v>0</v>
      </c>
      <c r="I171" s="38" t="s">
        <v>63</v>
      </c>
      <c r="J171" s="55">
        <v>0</v>
      </c>
      <c r="K171" s="55">
        <v>14399.001614</v>
      </c>
      <c r="L171" s="55">
        <v>14399.001614</v>
      </c>
      <c r="M171" s="38" t="s">
        <v>64</v>
      </c>
    </row>
    <row r="172" spans="2:13" ht="18" customHeight="1" x14ac:dyDescent="0.25">
      <c r="B172" s="79" t="s">
        <v>21</v>
      </c>
      <c r="C172" s="40" t="s">
        <v>192</v>
      </c>
      <c r="D172" s="31" t="s">
        <v>79</v>
      </c>
      <c r="E172" s="40" t="s">
        <v>139</v>
      </c>
      <c r="F172" s="79" t="s">
        <v>109</v>
      </c>
      <c r="G172" s="40" t="s">
        <v>108</v>
      </c>
      <c r="H172" s="32">
        <v>0</v>
      </c>
      <c r="I172" s="33" t="s">
        <v>63</v>
      </c>
      <c r="J172" s="53">
        <v>0</v>
      </c>
      <c r="K172" s="53">
        <v>16130.259873</v>
      </c>
      <c r="L172" s="53">
        <v>16130.259873</v>
      </c>
      <c r="M172" s="33" t="s">
        <v>64</v>
      </c>
    </row>
    <row r="173" spans="2:13" ht="18" customHeight="1" x14ac:dyDescent="0.25">
      <c r="B173" s="80" t="s">
        <v>21</v>
      </c>
      <c r="C173" s="42" t="s">
        <v>192</v>
      </c>
      <c r="D173" s="35" t="s">
        <v>79</v>
      </c>
      <c r="E173" s="42" t="s">
        <v>156</v>
      </c>
      <c r="F173" s="80" t="s">
        <v>157</v>
      </c>
      <c r="G173" s="42" t="s">
        <v>158</v>
      </c>
      <c r="H173" s="36">
        <v>0</v>
      </c>
      <c r="I173" s="38" t="s">
        <v>63</v>
      </c>
      <c r="J173" s="55">
        <v>0</v>
      </c>
      <c r="K173" s="55">
        <v>760.064601</v>
      </c>
      <c r="L173" s="55">
        <v>760.064601</v>
      </c>
      <c r="M173" s="38" t="s">
        <v>64</v>
      </c>
    </row>
    <row r="174" spans="2:13" ht="18" customHeight="1" x14ac:dyDescent="0.25">
      <c r="B174" s="79" t="s">
        <v>21</v>
      </c>
      <c r="C174" s="40" t="s">
        <v>192</v>
      </c>
      <c r="D174" s="31" t="s">
        <v>79</v>
      </c>
      <c r="E174" s="40" t="s">
        <v>167</v>
      </c>
      <c r="F174" s="79" t="s">
        <v>168</v>
      </c>
      <c r="G174" s="40" t="s">
        <v>158</v>
      </c>
      <c r="H174" s="32">
        <v>0</v>
      </c>
      <c r="I174" s="33" t="s">
        <v>63</v>
      </c>
      <c r="J174" s="53">
        <v>0</v>
      </c>
      <c r="K174" s="53">
        <v>337.806489</v>
      </c>
      <c r="L174" s="53">
        <v>337.806489</v>
      </c>
      <c r="M174" s="33" t="s">
        <v>64</v>
      </c>
    </row>
    <row r="175" spans="2:13" ht="18" customHeight="1" x14ac:dyDescent="0.25">
      <c r="B175" s="80" t="s">
        <v>21</v>
      </c>
      <c r="C175" s="42" t="s">
        <v>192</v>
      </c>
      <c r="D175" s="35" t="s">
        <v>79</v>
      </c>
      <c r="E175" s="42" t="s">
        <v>169</v>
      </c>
      <c r="F175" s="80" t="s">
        <v>170</v>
      </c>
      <c r="G175" s="42" t="s">
        <v>158</v>
      </c>
      <c r="H175" s="36">
        <v>0</v>
      </c>
      <c r="I175" s="38" t="s">
        <v>63</v>
      </c>
      <c r="J175" s="55">
        <v>0</v>
      </c>
      <c r="K175" s="55">
        <v>675.612979</v>
      </c>
      <c r="L175" s="55">
        <v>675.612979</v>
      </c>
      <c r="M175" s="38" t="s">
        <v>64</v>
      </c>
    </row>
    <row r="176" spans="2:13" ht="18" customHeight="1" x14ac:dyDescent="0.25">
      <c r="B176" s="79" t="s">
        <v>21</v>
      </c>
      <c r="C176" s="40" t="s">
        <v>192</v>
      </c>
      <c r="D176" s="31" t="s">
        <v>79</v>
      </c>
      <c r="E176" s="40" t="s">
        <v>141</v>
      </c>
      <c r="F176" s="79" t="s">
        <v>111</v>
      </c>
      <c r="G176" s="40" t="s">
        <v>112</v>
      </c>
      <c r="H176" s="32">
        <v>0</v>
      </c>
      <c r="I176" s="33" t="s">
        <v>63</v>
      </c>
      <c r="J176" s="53">
        <v>0</v>
      </c>
      <c r="K176" s="53">
        <v>9543.033328</v>
      </c>
      <c r="L176" s="53">
        <v>9543.033328</v>
      </c>
      <c r="M176" s="33" t="s">
        <v>64</v>
      </c>
    </row>
    <row r="177" spans="2:13" ht="18" customHeight="1" x14ac:dyDescent="0.25">
      <c r="B177" s="80" t="s">
        <v>21</v>
      </c>
      <c r="C177" s="42" t="s">
        <v>192</v>
      </c>
      <c r="D177" s="35" t="s">
        <v>79</v>
      </c>
      <c r="E177" s="42" t="s">
        <v>150</v>
      </c>
      <c r="F177" s="80" t="s">
        <v>151</v>
      </c>
      <c r="G177" s="42" t="s">
        <v>112</v>
      </c>
      <c r="H177" s="36">
        <v>0</v>
      </c>
      <c r="I177" s="38" t="s">
        <v>63</v>
      </c>
      <c r="J177" s="55">
        <v>0</v>
      </c>
      <c r="K177" s="55">
        <v>11443.194831</v>
      </c>
      <c r="L177" s="55">
        <v>11443.194831</v>
      </c>
      <c r="M177" s="38" t="s">
        <v>64</v>
      </c>
    </row>
    <row r="178" spans="2:13" ht="18" customHeight="1" x14ac:dyDescent="0.25">
      <c r="B178" s="79" t="s">
        <v>21</v>
      </c>
      <c r="C178" s="40" t="s">
        <v>192</v>
      </c>
      <c r="D178" s="31" t="s">
        <v>79</v>
      </c>
      <c r="E178" s="40" t="s">
        <v>171</v>
      </c>
      <c r="F178" s="79" t="s">
        <v>172</v>
      </c>
      <c r="G178" s="40" t="s">
        <v>158</v>
      </c>
      <c r="H178" s="32">
        <v>0</v>
      </c>
      <c r="I178" s="33" t="s">
        <v>63</v>
      </c>
      <c r="J178" s="53">
        <v>0</v>
      </c>
      <c r="K178" s="53">
        <v>337.806489</v>
      </c>
      <c r="L178" s="53">
        <v>337.806489</v>
      </c>
      <c r="M178" s="33" t="s">
        <v>64</v>
      </c>
    </row>
    <row r="179" spans="2:13" ht="18" customHeight="1" x14ac:dyDescent="0.25">
      <c r="B179" s="80" t="s">
        <v>21</v>
      </c>
      <c r="C179" s="42" t="s">
        <v>192</v>
      </c>
      <c r="D179" s="35" t="s">
        <v>79</v>
      </c>
      <c r="E179" s="42" t="s">
        <v>173</v>
      </c>
      <c r="F179" s="80" t="s">
        <v>174</v>
      </c>
      <c r="G179" s="42" t="s">
        <v>175</v>
      </c>
      <c r="H179" s="36">
        <v>0</v>
      </c>
      <c r="I179" s="38" t="s">
        <v>63</v>
      </c>
      <c r="J179" s="55">
        <v>0</v>
      </c>
      <c r="K179" s="55">
        <v>42.225811</v>
      </c>
      <c r="L179" s="55">
        <v>42.225811</v>
      </c>
      <c r="M179" s="38" t="s">
        <v>64</v>
      </c>
    </row>
    <row r="180" spans="2:13" ht="18" customHeight="1" x14ac:dyDescent="0.25">
      <c r="B180" s="79" t="s">
        <v>21</v>
      </c>
      <c r="C180" s="40" t="s">
        <v>192</v>
      </c>
      <c r="D180" s="31" t="s">
        <v>79</v>
      </c>
      <c r="E180" s="40" t="s">
        <v>161</v>
      </c>
      <c r="F180" s="79" t="s">
        <v>162</v>
      </c>
      <c r="G180" s="40" t="s">
        <v>158</v>
      </c>
      <c r="H180" s="32">
        <v>0</v>
      </c>
      <c r="I180" s="33" t="s">
        <v>63</v>
      </c>
      <c r="J180" s="53">
        <v>0</v>
      </c>
      <c r="K180" s="53">
        <v>380.032301</v>
      </c>
      <c r="L180" s="53">
        <v>380.032301</v>
      </c>
      <c r="M180" s="33" t="s">
        <v>64</v>
      </c>
    </row>
    <row r="181" spans="2:13" ht="18" customHeight="1" x14ac:dyDescent="0.25">
      <c r="B181" s="80" t="s">
        <v>21</v>
      </c>
      <c r="C181" s="42" t="s">
        <v>192</v>
      </c>
      <c r="D181" s="35" t="s">
        <v>79</v>
      </c>
      <c r="E181" s="42" t="s">
        <v>163</v>
      </c>
      <c r="F181" s="80" t="s">
        <v>164</v>
      </c>
      <c r="G181" s="42" t="s">
        <v>158</v>
      </c>
      <c r="H181" s="36">
        <v>0</v>
      </c>
      <c r="I181" s="38" t="s">
        <v>63</v>
      </c>
      <c r="J181" s="55">
        <v>0</v>
      </c>
      <c r="K181" s="55">
        <v>971.193657</v>
      </c>
      <c r="L181" s="55">
        <v>971.193657</v>
      </c>
      <c r="M181" s="38" t="s">
        <v>64</v>
      </c>
    </row>
    <row r="182" spans="2:13" ht="18" customHeight="1" x14ac:dyDescent="0.25">
      <c r="B182" s="79" t="s">
        <v>21</v>
      </c>
      <c r="C182" s="40" t="s">
        <v>192</v>
      </c>
      <c r="D182" s="31" t="s">
        <v>79</v>
      </c>
      <c r="E182" s="40" t="s">
        <v>152</v>
      </c>
      <c r="F182" s="79" t="s">
        <v>153</v>
      </c>
      <c r="G182" s="40" t="s">
        <v>108</v>
      </c>
      <c r="H182" s="32">
        <v>0</v>
      </c>
      <c r="I182" s="33" t="s">
        <v>63</v>
      </c>
      <c r="J182" s="53">
        <v>0</v>
      </c>
      <c r="K182" s="53">
        <v>6291.645867</v>
      </c>
      <c r="L182" s="53">
        <v>6291.645867</v>
      </c>
      <c r="M182" s="33" t="s">
        <v>64</v>
      </c>
    </row>
    <row r="183" spans="2:13" ht="18" customHeight="1" x14ac:dyDescent="0.25">
      <c r="B183" s="80" t="s">
        <v>21</v>
      </c>
      <c r="C183" s="42" t="s">
        <v>192</v>
      </c>
      <c r="D183" s="35" t="s">
        <v>79</v>
      </c>
      <c r="E183" s="42" t="s">
        <v>148</v>
      </c>
      <c r="F183" s="80" t="s">
        <v>149</v>
      </c>
      <c r="G183" s="42" t="s">
        <v>108</v>
      </c>
      <c r="H183" s="36">
        <v>0</v>
      </c>
      <c r="I183" s="38" t="s">
        <v>63</v>
      </c>
      <c r="J183" s="55">
        <v>0</v>
      </c>
      <c r="K183" s="55">
        <v>2744.677727</v>
      </c>
      <c r="L183" s="55">
        <v>2744.677727</v>
      </c>
      <c r="M183" s="38" t="s">
        <v>64</v>
      </c>
    </row>
    <row r="184" spans="2:13" ht="18" customHeight="1" x14ac:dyDescent="0.25">
      <c r="B184" s="79" t="s">
        <v>21</v>
      </c>
      <c r="C184" s="40" t="s">
        <v>192</v>
      </c>
      <c r="D184" s="31" t="s">
        <v>79</v>
      </c>
      <c r="E184" s="40" t="s">
        <v>176</v>
      </c>
      <c r="F184" s="79" t="s">
        <v>177</v>
      </c>
      <c r="G184" s="40" t="s">
        <v>178</v>
      </c>
      <c r="H184" s="32">
        <v>0</v>
      </c>
      <c r="I184" s="33" t="s">
        <v>63</v>
      </c>
      <c r="J184" s="53">
        <v>0</v>
      </c>
      <c r="K184" s="53">
        <v>42.225811</v>
      </c>
      <c r="L184" s="53">
        <v>42.225811</v>
      </c>
      <c r="M184" s="33" t="s">
        <v>64</v>
      </c>
    </row>
    <row r="185" spans="2:13" ht="18" customHeight="1" x14ac:dyDescent="0.25">
      <c r="B185" s="80" t="s">
        <v>21</v>
      </c>
      <c r="C185" s="42" t="s">
        <v>193</v>
      </c>
      <c r="D185" s="35" t="s">
        <v>80</v>
      </c>
      <c r="E185" s="42" t="s">
        <v>146</v>
      </c>
      <c r="F185" s="80" t="s">
        <v>120</v>
      </c>
      <c r="G185" s="42" t="s">
        <v>112</v>
      </c>
      <c r="H185" s="36">
        <v>0</v>
      </c>
      <c r="I185" s="38" t="s">
        <v>63</v>
      </c>
      <c r="J185" s="55">
        <v>0</v>
      </c>
      <c r="K185" s="55">
        <v>3423.076923</v>
      </c>
      <c r="L185" s="55">
        <v>3423.076923</v>
      </c>
      <c r="M185" s="38" t="s">
        <v>64</v>
      </c>
    </row>
    <row r="186" spans="2:13" ht="18" customHeight="1" x14ac:dyDescent="0.25">
      <c r="B186" s="79" t="s">
        <v>21</v>
      </c>
      <c r="C186" s="40" t="s">
        <v>193</v>
      </c>
      <c r="D186" s="31" t="s">
        <v>80</v>
      </c>
      <c r="E186" s="40" t="s">
        <v>154</v>
      </c>
      <c r="F186" s="79" t="s">
        <v>155</v>
      </c>
      <c r="G186" s="40" t="s">
        <v>112</v>
      </c>
      <c r="H186" s="32">
        <v>0</v>
      </c>
      <c r="I186" s="33" t="s">
        <v>63</v>
      </c>
      <c r="J186" s="53">
        <v>0</v>
      </c>
      <c r="K186" s="53">
        <v>319.487179</v>
      </c>
      <c r="L186" s="53">
        <v>319.487179</v>
      </c>
      <c r="M186" s="33" t="s">
        <v>64</v>
      </c>
    </row>
    <row r="187" spans="2:13" ht="18" customHeight="1" x14ac:dyDescent="0.25">
      <c r="B187" s="80" t="s">
        <v>21</v>
      </c>
      <c r="C187" s="42" t="s">
        <v>193</v>
      </c>
      <c r="D187" s="35" t="s">
        <v>80</v>
      </c>
      <c r="E187" s="42" t="s">
        <v>159</v>
      </c>
      <c r="F187" s="80" t="s">
        <v>160</v>
      </c>
      <c r="G187" s="42" t="s">
        <v>112</v>
      </c>
      <c r="H187" s="36">
        <v>0</v>
      </c>
      <c r="I187" s="38" t="s">
        <v>63</v>
      </c>
      <c r="J187" s="55">
        <v>0</v>
      </c>
      <c r="K187" s="55">
        <v>775.897436</v>
      </c>
      <c r="L187" s="55">
        <v>775.897436</v>
      </c>
      <c r="M187" s="38" t="s">
        <v>64</v>
      </c>
    </row>
    <row r="188" spans="2:13" ht="18" customHeight="1" x14ac:dyDescent="0.25">
      <c r="B188" s="79" t="s">
        <v>21</v>
      </c>
      <c r="C188" s="40" t="s">
        <v>193</v>
      </c>
      <c r="D188" s="31" t="s">
        <v>80</v>
      </c>
      <c r="E188" s="40" t="s">
        <v>165</v>
      </c>
      <c r="F188" s="79" t="s">
        <v>166</v>
      </c>
      <c r="G188" s="40" t="s">
        <v>112</v>
      </c>
      <c r="H188" s="32">
        <v>0</v>
      </c>
      <c r="I188" s="33" t="s">
        <v>63</v>
      </c>
      <c r="J188" s="53">
        <v>0</v>
      </c>
      <c r="K188" s="53">
        <v>593.333333</v>
      </c>
      <c r="L188" s="53">
        <v>593.333333</v>
      </c>
      <c r="M188" s="33" t="s">
        <v>64</v>
      </c>
    </row>
    <row r="189" spans="2:13" ht="18" customHeight="1" x14ac:dyDescent="0.25">
      <c r="B189" s="80" t="s">
        <v>21</v>
      </c>
      <c r="C189" s="42" t="s">
        <v>193</v>
      </c>
      <c r="D189" s="35" t="s">
        <v>80</v>
      </c>
      <c r="E189" s="42" t="s">
        <v>145</v>
      </c>
      <c r="F189" s="80" t="s">
        <v>115</v>
      </c>
      <c r="G189" s="42" t="s">
        <v>112</v>
      </c>
      <c r="H189" s="36">
        <v>0</v>
      </c>
      <c r="I189" s="38" t="s">
        <v>63</v>
      </c>
      <c r="J189" s="55">
        <v>0</v>
      </c>
      <c r="K189" s="55">
        <v>502.051282</v>
      </c>
      <c r="L189" s="55">
        <v>502.051282</v>
      </c>
      <c r="M189" s="38" t="s">
        <v>64</v>
      </c>
    </row>
    <row r="190" spans="2:13" ht="18" customHeight="1" x14ac:dyDescent="0.25">
      <c r="B190" s="79" t="s">
        <v>21</v>
      </c>
      <c r="C190" s="40" t="s">
        <v>193</v>
      </c>
      <c r="D190" s="31" t="s">
        <v>80</v>
      </c>
      <c r="E190" s="40" t="s">
        <v>143</v>
      </c>
      <c r="F190" s="79" t="s">
        <v>114</v>
      </c>
      <c r="G190" s="40" t="s">
        <v>112</v>
      </c>
      <c r="H190" s="32">
        <v>0</v>
      </c>
      <c r="I190" s="33" t="s">
        <v>63</v>
      </c>
      <c r="J190" s="53">
        <v>0</v>
      </c>
      <c r="K190" s="53">
        <v>1232.307692</v>
      </c>
      <c r="L190" s="53">
        <v>1232.307692</v>
      </c>
      <c r="M190" s="33" t="s">
        <v>64</v>
      </c>
    </row>
    <row r="191" spans="2:13" ht="18" customHeight="1" x14ac:dyDescent="0.25">
      <c r="B191" s="80" t="s">
        <v>21</v>
      </c>
      <c r="C191" s="42" t="s">
        <v>193</v>
      </c>
      <c r="D191" s="35" t="s">
        <v>80</v>
      </c>
      <c r="E191" s="42" t="s">
        <v>147</v>
      </c>
      <c r="F191" s="80" t="s">
        <v>127</v>
      </c>
      <c r="G191" s="42" t="s">
        <v>108</v>
      </c>
      <c r="H191" s="36">
        <v>0</v>
      </c>
      <c r="I191" s="38" t="s">
        <v>63</v>
      </c>
      <c r="J191" s="55">
        <v>0</v>
      </c>
      <c r="K191" s="55">
        <v>4792.307692</v>
      </c>
      <c r="L191" s="55">
        <v>4792.307692</v>
      </c>
      <c r="M191" s="38" t="s">
        <v>64</v>
      </c>
    </row>
    <row r="192" spans="2:13" ht="18" customHeight="1" x14ac:dyDescent="0.25">
      <c r="B192" s="79" t="s">
        <v>21</v>
      </c>
      <c r="C192" s="40" t="s">
        <v>193</v>
      </c>
      <c r="D192" s="31" t="s">
        <v>80</v>
      </c>
      <c r="E192" s="40" t="s">
        <v>142</v>
      </c>
      <c r="F192" s="79" t="s">
        <v>113</v>
      </c>
      <c r="G192" s="40" t="s">
        <v>108</v>
      </c>
      <c r="H192" s="32">
        <v>0</v>
      </c>
      <c r="I192" s="33" t="s">
        <v>63</v>
      </c>
      <c r="J192" s="53">
        <v>0</v>
      </c>
      <c r="K192" s="53">
        <v>3423.076923</v>
      </c>
      <c r="L192" s="53">
        <v>3423.076923</v>
      </c>
      <c r="M192" s="33" t="s">
        <v>64</v>
      </c>
    </row>
    <row r="193" spans="2:13" ht="18" customHeight="1" x14ac:dyDescent="0.25">
      <c r="B193" s="80" t="s">
        <v>21</v>
      </c>
      <c r="C193" s="42" t="s">
        <v>193</v>
      </c>
      <c r="D193" s="35" t="s">
        <v>80</v>
      </c>
      <c r="E193" s="42" t="s">
        <v>138</v>
      </c>
      <c r="F193" s="80" t="s">
        <v>107</v>
      </c>
      <c r="G193" s="42" t="s">
        <v>108</v>
      </c>
      <c r="H193" s="36">
        <v>0</v>
      </c>
      <c r="I193" s="38" t="s">
        <v>63</v>
      </c>
      <c r="J193" s="55">
        <v>0</v>
      </c>
      <c r="K193" s="55">
        <v>29255.897436</v>
      </c>
      <c r="L193" s="55">
        <v>29255.897436</v>
      </c>
      <c r="M193" s="38" t="s">
        <v>64</v>
      </c>
    </row>
    <row r="194" spans="2:13" ht="18" customHeight="1" x14ac:dyDescent="0.25">
      <c r="B194" s="79" t="s">
        <v>21</v>
      </c>
      <c r="C194" s="40" t="s">
        <v>193</v>
      </c>
      <c r="D194" s="31" t="s">
        <v>80</v>
      </c>
      <c r="E194" s="40" t="s">
        <v>119</v>
      </c>
      <c r="F194" s="79" t="s">
        <v>118</v>
      </c>
      <c r="G194" s="40" t="s">
        <v>112</v>
      </c>
      <c r="H194" s="32">
        <v>0</v>
      </c>
      <c r="I194" s="33" t="s">
        <v>63</v>
      </c>
      <c r="J194" s="53">
        <v>0</v>
      </c>
      <c r="K194" s="53">
        <v>1551.794872</v>
      </c>
      <c r="L194" s="53">
        <v>1551.794872</v>
      </c>
      <c r="M194" s="33" t="s">
        <v>64</v>
      </c>
    </row>
    <row r="195" spans="2:13" ht="18" customHeight="1" x14ac:dyDescent="0.25">
      <c r="B195" s="80" t="s">
        <v>21</v>
      </c>
      <c r="C195" s="42" t="s">
        <v>193</v>
      </c>
      <c r="D195" s="35" t="s">
        <v>80</v>
      </c>
      <c r="E195" s="42" t="s">
        <v>144</v>
      </c>
      <c r="F195" s="80" t="s">
        <v>116</v>
      </c>
      <c r="G195" s="42" t="s">
        <v>112</v>
      </c>
      <c r="H195" s="36">
        <v>0</v>
      </c>
      <c r="I195" s="38" t="s">
        <v>63</v>
      </c>
      <c r="J195" s="55">
        <v>0</v>
      </c>
      <c r="K195" s="55">
        <v>1323.589744</v>
      </c>
      <c r="L195" s="55">
        <v>1323.589744</v>
      </c>
      <c r="M195" s="38" t="s">
        <v>64</v>
      </c>
    </row>
    <row r="196" spans="2:13" ht="18" customHeight="1" x14ac:dyDescent="0.25">
      <c r="B196" s="79" t="s">
        <v>21</v>
      </c>
      <c r="C196" s="40" t="s">
        <v>193</v>
      </c>
      <c r="D196" s="31" t="s">
        <v>80</v>
      </c>
      <c r="E196" s="40" t="s">
        <v>140</v>
      </c>
      <c r="F196" s="79" t="s">
        <v>110</v>
      </c>
      <c r="G196" s="40" t="s">
        <v>108</v>
      </c>
      <c r="H196" s="32">
        <v>0</v>
      </c>
      <c r="I196" s="33" t="s">
        <v>63</v>
      </c>
      <c r="J196" s="53">
        <v>0</v>
      </c>
      <c r="K196" s="53">
        <v>4244.615385</v>
      </c>
      <c r="L196" s="53">
        <v>4244.615385</v>
      </c>
      <c r="M196" s="33" t="s">
        <v>64</v>
      </c>
    </row>
    <row r="197" spans="2:13" ht="18" customHeight="1" x14ac:dyDescent="0.25">
      <c r="B197" s="80" t="s">
        <v>21</v>
      </c>
      <c r="C197" s="42" t="s">
        <v>193</v>
      </c>
      <c r="D197" s="35" t="s">
        <v>80</v>
      </c>
      <c r="E197" s="42" t="s">
        <v>139</v>
      </c>
      <c r="F197" s="80" t="s">
        <v>109</v>
      </c>
      <c r="G197" s="42" t="s">
        <v>108</v>
      </c>
      <c r="H197" s="36">
        <v>0</v>
      </c>
      <c r="I197" s="38" t="s">
        <v>63</v>
      </c>
      <c r="J197" s="55">
        <v>0</v>
      </c>
      <c r="K197" s="55">
        <v>7165.641026</v>
      </c>
      <c r="L197" s="55">
        <v>7165.641026</v>
      </c>
      <c r="M197" s="38" t="s">
        <v>64</v>
      </c>
    </row>
    <row r="198" spans="2:13" ht="18" customHeight="1" x14ac:dyDescent="0.25">
      <c r="B198" s="79" t="s">
        <v>21</v>
      </c>
      <c r="C198" s="40" t="s">
        <v>193</v>
      </c>
      <c r="D198" s="31" t="s">
        <v>80</v>
      </c>
      <c r="E198" s="40" t="s">
        <v>156</v>
      </c>
      <c r="F198" s="79" t="s">
        <v>157</v>
      </c>
      <c r="G198" s="40" t="s">
        <v>158</v>
      </c>
      <c r="H198" s="32">
        <v>0</v>
      </c>
      <c r="I198" s="33" t="s">
        <v>63</v>
      </c>
      <c r="J198" s="53">
        <v>0</v>
      </c>
      <c r="K198" s="53">
        <v>593.333333</v>
      </c>
      <c r="L198" s="53">
        <v>593.333333</v>
      </c>
      <c r="M198" s="33" t="s">
        <v>64</v>
      </c>
    </row>
    <row r="199" spans="2:13" ht="18" customHeight="1" x14ac:dyDescent="0.25">
      <c r="B199" s="80" t="s">
        <v>21</v>
      </c>
      <c r="C199" s="42" t="s">
        <v>193</v>
      </c>
      <c r="D199" s="35" t="s">
        <v>80</v>
      </c>
      <c r="E199" s="42" t="s">
        <v>167</v>
      </c>
      <c r="F199" s="80" t="s">
        <v>168</v>
      </c>
      <c r="G199" s="42" t="s">
        <v>158</v>
      </c>
      <c r="H199" s="36">
        <v>0</v>
      </c>
      <c r="I199" s="38" t="s">
        <v>63</v>
      </c>
      <c r="J199" s="55">
        <v>0</v>
      </c>
      <c r="K199" s="55">
        <v>136.923077</v>
      </c>
      <c r="L199" s="55">
        <v>136.923077</v>
      </c>
      <c r="M199" s="38" t="s">
        <v>64</v>
      </c>
    </row>
    <row r="200" spans="2:13" ht="18" customHeight="1" x14ac:dyDescent="0.25">
      <c r="B200" s="79" t="s">
        <v>21</v>
      </c>
      <c r="C200" s="40" t="s">
        <v>193</v>
      </c>
      <c r="D200" s="31" t="s">
        <v>80</v>
      </c>
      <c r="E200" s="40" t="s">
        <v>169</v>
      </c>
      <c r="F200" s="79" t="s">
        <v>170</v>
      </c>
      <c r="G200" s="40" t="s">
        <v>158</v>
      </c>
      <c r="H200" s="32">
        <v>0</v>
      </c>
      <c r="I200" s="33" t="s">
        <v>63</v>
      </c>
      <c r="J200" s="53">
        <v>0</v>
      </c>
      <c r="K200" s="53">
        <v>136.923077</v>
      </c>
      <c r="L200" s="53">
        <v>136.923077</v>
      </c>
      <c r="M200" s="33" t="s">
        <v>64</v>
      </c>
    </row>
    <row r="201" spans="2:13" ht="18" customHeight="1" x14ac:dyDescent="0.25">
      <c r="B201" s="80" t="s">
        <v>21</v>
      </c>
      <c r="C201" s="42" t="s">
        <v>193</v>
      </c>
      <c r="D201" s="35" t="s">
        <v>80</v>
      </c>
      <c r="E201" s="42" t="s">
        <v>141</v>
      </c>
      <c r="F201" s="80" t="s">
        <v>111</v>
      </c>
      <c r="G201" s="42" t="s">
        <v>112</v>
      </c>
      <c r="H201" s="36">
        <v>0</v>
      </c>
      <c r="I201" s="38" t="s">
        <v>63</v>
      </c>
      <c r="J201" s="55">
        <v>0</v>
      </c>
      <c r="K201" s="55">
        <v>5248.717949</v>
      </c>
      <c r="L201" s="55">
        <v>5248.717949</v>
      </c>
      <c r="M201" s="38" t="s">
        <v>64</v>
      </c>
    </row>
    <row r="202" spans="2:13" ht="18" customHeight="1" x14ac:dyDescent="0.25">
      <c r="B202" s="79" t="s">
        <v>21</v>
      </c>
      <c r="C202" s="40" t="s">
        <v>193</v>
      </c>
      <c r="D202" s="31" t="s">
        <v>80</v>
      </c>
      <c r="E202" s="40" t="s">
        <v>150</v>
      </c>
      <c r="F202" s="79" t="s">
        <v>151</v>
      </c>
      <c r="G202" s="40" t="s">
        <v>112</v>
      </c>
      <c r="H202" s="32">
        <v>0</v>
      </c>
      <c r="I202" s="33" t="s">
        <v>63</v>
      </c>
      <c r="J202" s="53">
        <v>0</v>
      </c>
      <c r="K202" s="53">
        <v>2190.769231</v>
      </c>
      <c r="L202" s="53">
        <v>2190.769231</v>
      </c>
      <c r="M202" s="33" t="s">
        <v>64</v>
      </c>
    </row>
    <row r="203" spans="2:13" ht="18" customHeight="1" x14ac:dyDescent="0.25">
      <c r="B203" s="80" t="s">
        <v>21</v>
      </c>
      <c r="C203" s="42" t="s">
        <v>193</v>
      </c>
      <c r="D203" s="35" t="s">
        <v>80</v>
      </c>
      <c r="E203" s="42" t="s">
        <v>171</v>
      </c>
      <c r="F203" s="80" t="s">
        <v>172</v>
      </c>
      <c r="G203" s="42" t="s">
        <v>158</v>
      </c>
      <c r="H203" s="36">
        <v>0</v>
      </c>
      <c r="I203" s="38" t="s">
        <v>63</v>
      </c>
      <c r="J203" s="55">
        <v>0</v>
      </c>
      <c r="K203" s="55">
        <v>182.564103</v>
      </c>
      <c r="L203" s="55">
        <v>182.564103</v>
      </c>
      <c r="M203" s="38" t="s">
        <v>64</v>
      </c>
    </row>
    <row r="204" spans="2:13" ht="18" customHeight="1" x14ac:dyDescent="0.25">
      <c r="B204" s="79" t="s">
        <v>21</v>
      </c>
      <c r="C204" s="40" t="s">
        <v>193</v>
      </c>
      <c r="D204" s="31" t="s">
        <v>80</v>
      </c>
      <c r="E204" s="40" t="s">
        <v>173</v>
      </c>
      <c r="F204" s="79" t="s">
        <v>174</v>
      </c>
      <c r="G204" s="40" t="s">
        <v>175</v>
      </c>
      <c r="H204" s="32">
        <v>0</v>
      </c>
      <c r="I204" s="33" t="s">
        <v>63</v>
      </c>
      <c r="J204" s="53">
        <v>0</v>
      </c>
      <c r="K204" s="53">
        <v>0</v>
      </c>
      <c r="L204" s="53">
        <v>0</v>
      </c>
      <c r="M204" s="33" t="s">
        <v>64</v>
      </c>
    </row>
    <row r="205" spans="2:13" ht="18" customHeight="1" x14ac:dyDescent="0.25">
      <c r="B205" s="80" t="s">
        <v>21</v>
      </c>
      <c r="C205" s="42" t="s">
        <v>193</v>
      </c>
      <c r="D205" s="35" t="s">
        <v>80</v>
      </c>
      <c r="E205" s="42" t="s">
        <v>161</v>
      </c>
      <c r="F205" s="80" t="s">
        <v>162</v>
      </c>
      <c r="G205" s="42" t="s">
        <v>158</v>
      </c>
      <c r="H205" s="36">
        <v>0</v>
      </c>
      <c r="I205" s="38" t="s">
        <v>63</v>
      </c>
      <c r="J205" s="55">
        <v>0</v>
      </c>
      <c r="K205" s="55">
        <v>638.974359</v>
      </c>
      <c r="L205" s="55">
        <v>638.974359</v>
      </c>
      <c r="M205" s="38" t="s">
        <v>64</v>
      </c>
    </row>
    <row r="206" spans="2:13" ht="18" customHeight="1" x14ac:dyDescent="0.25">
      <c r="B206" s="79" t="s">
        <v>21</v>
      </c>
      <c r="C206" s="40" t="s">
        <v>193</v>
      </c>
      <c r="D206" s="31" t="s">
        <v>80</v>
      </c>
      <c r="E206" s="40" t="s">
        <v>163</v>
      </c>
      <c r="F206" s="79" t="s">
        <v>164</v>
      </c>
      <c r="G206" s="40" t="s">
        <v>158</v>
      </c>
      <c r="H206" s="32">
        <v>0</v>
      </c>
      <c r="I206" s="33" t="s">
        <v>63</v>
      </c>
      <c r="J206" s="53">
        <v>0</v>
      </c>
      <c r="K206" s="53">
        <v>547.692308</v>
      </c>
      <c r="L206" s="53">
        <v>547.692308</v>
      </c>
      <c r="M206" s="33" t="s">
        <v>64</v>
      </c>
    </row>
    <row r="207" spans="2:13" ht="18" customHeight="1" x14ac:dyDescent="0.25">
      <c r="B207" s="80" t="s">
        <v>21</v>
      </c>
      <c r="C207" s="42" t="s">
        <v>193</v>
      </c>
      <c r="D207" s="35" t="s">
        <v>80</v>
      </c>
      <c r="E207" s="42" t="s">
        <v>152</v>
      </c>
      <c r="F207" s="80" t="s">
        <v>153</v>
      </c>
      <c r="G207" s="42" t="s">
        <v>108</v>
      </c>
      <c r="H207" s="36">
        <v>0</v>
      </c>
      <c r="I207" s="38" t="s">
        <v>63</v>
      </c>
      <c r="J207" s="55">
        <v>0</v>
      </c>
      <c r="K207" s="55">
        <v>1780</v>
      </c>
      <c r="L207" s="55">
        <v>1780</v>
      </c>
      <c r="M207" s="38" t="s">
        <v>64</v>
      </c>
    </row>
    <row r="208" spans="2:13" ht="18" customHeight="1" x14ac:dyDescent="0.25">
      <c r="B208" s="79" t="s">
        <v>21</v>
      </c>
      <c r="C208" s="40" t="s">
        <v>193</v>
      </c>
      <c r="D208" s="31" t="s">
        <v>80</v>
      </c>
      <c r="E208" s="40" t="s">
        <v>148</v>
      </c>
      <c r="F208" s="79" t="s">
        <v>149</v>
      </c>
      <c r="G208" s="40" t="s">
        <v>108</v>
      </c>
      <c r="H208" s="32">
        <v>0</v>
      </c>
      <c r="I208" s="33" t="s">
        <v>63</v>
      </c>
      <c r="J208" s="53">
        <v>0</v>
      </c>
      <c r="K208" s="53">
        <v>1141.025641</v>
      </c>
      <c r="L208" s="53">
        <v>1141.025641</v>
      </c>
      <c r="M208" s="33" t="s">
        <v>64</v>
      </c>
    </row>
    <row r="209" spans="2:13" ht="18" customHeight="1" x14ac:dyDescent="0.25">
      <c r="B209" s="80" t="s">
        <v>21</v>
      </c>
      <c r="C209" s="42" t="s">
        <v>193</v>
      </c>
      <c r="D209" s="35" t="s">
        <v>80</v>
      </c>
      <c r="E209" s="42" t="s">
        <v>176</v>
      </c>
      <c r="F209" s="80" t="s">
        <v>177</v>
      </c>
      <c r="G209" s="42" t="s">
        <v>178</v>
      </c>
      <c r="H209" s="36">
        <v>0</v>
      </c>
      <c r="I209" s="38" t="s">
        <v>63</v>
      </c>
      <c r="J209" s="55">
        <v>0</v>
      </c>
      <c r="K209" s="55">
        <v>0</v>
      </c>
      <c r="L209" s="55">
        <v>0</v>
      </c>
      <c r="M209" s="38" t="s">
        <v>64</v>
      </c>
    </row>
    <row r="210" spans="2:13" ht="18" customHeight="1" x14ac:dyDescent="0.25">
      <c r="B210" s="79" t="s">
        <v>65</v>
      </c>
      <c r="C210" s="40" t="s">
        <v>185</v>
      </c>
      <c r="D210" s="31" t="s">
        <v>72</v>
      </c>
      <c r="E210" s="40" t="s">
        <v>146</v>
      </c>
      <c r="F210" s="79" t="s">
        <v>120</v>
      </c>
      <c r="G210" s="40" t="s">
        <v>112</v>
      </c>
      <c r="H210" s="32">
        <v>8270</v>
      </c>
      <c r="I210" s="32">
        <v>225</v>
      </c>
      <c r="J210" s="53">
        <v>3909413.9997</v>
      </c>
      <c r="K210" s="53">
        <v>13133016.0392</v>
      </c>
      <c r="L210" s="53">
        <v>17042430.0389</v>
      </c>
      <c r="M210" s="33" t="s">
        <v>64</v>
      </c>
    </row>
    <row r="211" spans="2:13" ht="18" customHeight="1" x14ac:dyDescent="0.25">
      <c r="B211" s="80" t="s">
        <v>65</v>
      </c>
      <c r="C211" s="42" t="s">
        <v>185</v>
      </c>
      <c r="D211" s="35" t="s">
        <v>72</v>
      </c>
      <c r="E211" s="42" t="s">
        <v>154</v>
      </c>
      <c r="F211" s="80" t="s">
        <v>155</v>
      </c>
      <c r="G211" s="42" t="s">
        <v>112</v>
      </c>
      <c r="H211" s="36">
        <v>5863</v>
      </c>
      <c r="I211" s="36">
        <v>155</v>
      </c>
      <c r="J211" s="55">
        <v>2519405.1099</v>
      </c>
      <c r="K211" s="55">
        <v>9552112.5002</v>
      </c>
      <c r="L211" s="55">
        <v>12071517.6101</v>
      </c>
      <c r="M211" s="38" t="s">
        <v>64</v>
      </c>
    </row>
    <row r="212" spans="2:13" ht="18" customHeight="1" x14ac:dyDescent="0.25">
      <c r="B212" s="79" t="s">
        <v>65</v>
      </c>
      <c r="C212" s="40" t="s">
        <v>185</v>
      </c>
      <c r="D212" s="31" t="s">
        <v>72</v>
      </c>
      <c r="E212" s="40" t="s">
        <v>159</v>
      </c>
      <c r="F212" s="79" t="s">
        <v>160</v>
      </c>
      <c r="G212" s="40" t="s">
        <v>112</v>
      </c>
      <c r="H212" s="32">
        <v>5030</v>
      </c>
      <c r="I212" s="32">
        <v>139</v>
      </c>
      <c r="J212" s="53">
        <v>1660566.02</v>
      </c>
      <c r="K212" s="53">
        <v>5874786.5304</v>
      </c>
      <c r="L212" s="53">
        <v>7535352.5504</v>
      </c>
      <c r="M212" s="33" t="s">
        <v>64</v>
      </c>
    </row>
    <row r="213" spans="2:13" ht="18" customHeight="1" x14ac:dyDescent="0.25">
      <c r="B213" s="80" t="s">
        <v>65</v>
      </c>
      <c r="C213" s="42" t="s">
        <v>185</v>
      </c>
      <c r="D213" s="35" t="s">
        <v>72</v>
      </c>
      <c r="E213" s="42" t="s">
        <v>165</v>
      </c>
      <c r="F213" s="80" t="s">
        <v>166</v>
      </c>
      <c r="G213" s="42" t="s">
        <v>112</v>
      </c>
      <c r="H213" s="36">
        <v>2667</v>
      </c>
      <c r="I213" s="36">
        <v>66</v>
      </c>
      <c r="J213" s="55">
        <v>1398338.3703</v>
      </c>
      <c r="K213" s="55">
        <v>4497426.9505</v>
      </c>
      <c r="L213" s="55">
        <v>5895765.3208</v>
      </c>
      <c r="M213" s="38" t="s">
        <v>64</v>
      </c>
    </row>
    <row r="214" spans="2:13" ht="18" customHeight="1" x14ac:dyDescent="0.25">
      <c r="B214" s="79" t="s">
        <v>65</v>
      </c>
      <c r="C214" s="40" t="s">
        <v>185</v>
      </c>
      <c r="D214" s="31" t="s">
        <v>72</v>
      </c>
      <c r="E214" s="40" t="s">
        <v>145</v>
      </c>
      <c r="F214" s="79" t="s">
        <v>115</v>
      </c>
      <c r="G214" s="40" t="s">
        <v>112</v>
      </c>
      <c r="H214" s="32">
        <v>9094</v>
      </c>
      <c r="I214" s="32">
        <v>263</v>
      </c>
      <c r="J214" s="53">
        <v>5114955.55</v>
      </c>
      <c r="K214" s="53">
        <v>14821143.0795</v>
      </c>
      <c r="L214" s="53">
        <v>19936098.6295</v>
      </c>
      <c r="M214" s="33" t="s">
        <v>64</v>
      </c>
    </row>
    <row r="215" spans="2:13" ht="18" customHeight="1" x14ac:dyDescent="0.25">
      <c r="B215" s="80" t="s">
        <v>65</v>
      </c>
      <c r="C215" s="42" t="s">
        <v>185</v>
      </c>
      <c r="D215" s="35" t="s">
        <v>72</v>
      </c>
      <c r="E215" s="42" t="s">
        <v>143</v>
      </c>
      <c r="F215" s="80" t="s">
        <v>114</v>
      </c>
      <c r="G215" s="42" t="s">
        <v>112</v>
      </c>
      <c r="H215" s="36">
        <v>11506</v>
      </c>
      <c r="I215" s="36">
        <v>317</v>
      </c>
      <c r="J215" s="55">
        <v>5061583.9301</v>
      </c>
      <c r="K215" s="55">
        <v>16469970.5</v>
      </c>
      <c r="L215" s="55">
        <v>21531554.4301</v>
      </c>
      <c r="M215" s="38" t="s">
        <v>64</v>
      </c>
    </row>
    <row r="216" spans="2:13" ht="18" customHeight="1" x14ac:dyDescent="0.25">
      <c r="B216" s="79" t="s">
        <v>65</v>
      </c>
      <c r="C216" s="40" t="s">
        <v>185</v>
      </c>
      <c r="D216" s="31" t="s">
        <v>72</v>
      </c>
      <c r="E216" s="40" t="s">
        <v>147</v>
      </c>
      <c r="F216" s="79" t="s">
        <v>127</v>
      </c>
      <c r="G216" s="40" t="s">
        <v>108</v>
      </c>
      <c r="H216" s="32">
        <v>12932</v>
      </c>
      <c r="I216" s="32">
        <v>292</v>
      </c>
      <c r="J216" s="53">
        <v>3437842.4493</v>
      </c>
      <c r="K216" s="53">
        <v>11817803.1307</v>
      </c>
      <c r="L216" s="53">
        <v>15255645.58</v>
      </c>
      <c r="M216" s="33" t="s">
        <v>64</v>
      </c>
    </row>
    <row r="217" spans="2:13" ht="18" customHeight="1" x14ac:dyDescent="0.25">
      <c r="B217" s="80" t="s">
        <v>65</v>
      </c>
      <c r="C217" s="42" t="s">
        <v>185</v>
      </c>
      <c r="D217" s="35" t="s">
        <v>72</v>
      </c>
      <c r="E217" s="42" t="s">
        <v>142</v>
      </c>
      <c r="F217" s="80" t="s">
        <v>113</v>
      </c>
      <c r="G217" s="42" t="s">
        <v>108</v>
      </c>
      <c r="H217" s="36">
        <v>15965</v>
      </c>
      <c r="I217" s="36">
        <v>389</v>
      </c>
      <c r="J217" s="55">
        <v>8184181.433</v>
      </c>
      <c r="K217" s="55">
        <v>28876234.8375</v>
      </c>
      <c r="L217" s="55">
        <v>37060416.2705</v>
      </c>
      <c r="M217" s="38" t="s">
        <v>64</v>
      </c>
    </row>
    <row r="218" spans="2:13" ht="18" customHeight="1" x14ac:dyDescent="0.25">
      <c r="B218" s="79" t="s">
        <v>65</v>
      </c>
      <c r="C218" s="40" t="s">
        <v>185</v>
      </c>
      <c r="D218" s="31" t="s">
        <v>72</v>
      </c>
      <c r="E218" s="40" t="s">
        <v>138</v>
      </c>
      <c r="F218" s="79" t="s">
        <v>107</v>
      </c>
      <c r="G218" s="40" t="s">
        <v>108</v>
      </c>
      <c r="H218" s="32">
        <v>61733</v>
      </c>
      <c r="I218" s="32">
        <v>1436</v>
      </c>
      <c r="J218" s="53">
        <v>20669158.6195</v>
      </c>
      <c r="K218" s="53">
        <v>80118042.1797</v>
      </c>
      <c r="L218" s="53">
        <v>100787200.7992</v>
      </c>
      <c r="M218" s="33" t="s">
        <v>64</v>
      </c>
    </row>
    <row r="219" spans="2:13" ht="18" customHeight="1" x14ac:dyDescent="0.25">
      <c r="B219" s="80" t="s">
        <v>65</v>
      </c>
      <c r="C219" s="42" t="s">
        <v>185</v>
      </c>
      <c r="D219" s="35" t="s">
        <v>72</v>
      </c>
      <c r="E219" s="42" t="s">
        <v>119</v>
      </c>
      <c r="F219" s="80" t="s">
        <v>118</v>
      </c>
      <c r="G219" s="42" t="s">
        <v>112</v>
      </c>
      <c r="H219" s="36">
        <v>10022</v>
      </c>
      <c r="I219" s="36">
        <v>269</v>
      </c>
      <c r="J219" s="55">
        <v>3634775.2376</v>
      </c>
      <c r="K219" s="55">
        <v>13167354.5825</v>
      </c>
      <c r="L219" s="55">
        <v>16802129.8201</v>
      </c>
      <c r="M219" s="38" t="s">
        <v>64</v>
      </c>
    </row>
    <row r="220" spans="2:13" ht="18" customHeight="1" x14ac:dyDescent="0.25">
      <c r="B220" s="79" t="s">
        <v>65</v>
      </c>
      <c r="C220" s="40" t="s">
        <v>185</v>
      </c>
      <c r="D220" s="31" t="s">
        <v>72</v>
      </c>
      <c r="E220" s="40" t="s">
        <v>144</v>
      </c>
      <c r="F220" s="79" t="s">
        <v>116</v>
      </c>
      <c r="G220" s="40" t="s">
        <v>112</v>
      </c>
      <c r="H220" s="32">
        <v>11337</v>
      </c>
      <c r="I220" s="32">
        <v>270</v>
      </c>
      <c r="J220" s="53">
        <v>2573883.1898</v>
      </c>
      <c r="K220" s="53">
        <v>9931265.2829</v>
      </c>
      <c r="L220" s="53">
        <v>12505148.4727</v>
      </c>
      <c r="M220" s="33" t="s">
        <v>64</v>
      </c>
    </row>
    <row r="221" spans="2:13" ht="18" customHeight="1" x14ac:dyDescent="0.25">
      <c r="B221" s="80" t="s">
        <v>65</v>
      </c>
      <c r="C221" s="42" t="s">
        <v>185</v>
      </c>
      <c r="D221" s="35" t="s">
        <v>72</v>
      </c>
      <c r="E221" s="42" t="s">
        <v>140</v>
      </c>
      <c r="F221" s="80" t="s">
        <v>110</v>
      </c>
      <c r="G221" s="42" t="s">
        <v>108</v>
      </c>
      <c r="H221" s="36">
        <v>15490</v>
      </c>
      <c r="I221" s="36">
        <v>360</v>
      </c>
      <c r="J221" s="55">
        <v>3992704.1</v>
      </c>
      <c r="K221" s="55">
        <v>17422011.4395</v>
      </c>
      <c r="L221" s="55">
        <v>21414715.5395</v>
      </c>
      <c r="M221" s="38" t="s">
        <v>64</v>
      </c>
    </row>
    <row r="222" spans="2:13" ht="18" customHeight="1" x14ac:dyDescent="0.25">
      <c r="B222" s="79" t="s">
        <v>65</v>
      </c>
      <c r="C222" s="40" t="s">
        <v>185</v>
      </c>
      <c r="D222" s="31" t="s">
        <v>72</v>
      </c>
      <c r="E222" s="40" t="s">
        <v>139</v>
      </c>
      <c r="F222" s="79" t="s">
        <v>109</v>
      </c>
      <c r="G222" s="40" t="s">
        <v>108</v>
      </c>
      <c r="H222" s="32">
        <v>37440</v>
      </c>
      <c r="I222" s="32">
        <v>869</v>
      </c>
      <c r="J222" s="53">
        <v>8960719.0403</v>
      </c>
      <c r="K222" s="53">
        <v>34938038.86</v>
      </c>
      <c r="L222" s="53">
        <v>43898757.9003</v>
      </c>
      <c r="M222" s="33" t="s">
        <v>64</v>
      </c>
    </row>
    <row r="223" spans="2:13" ht="18" customHeight="1" x14ac:dyDescent="0.25">
      <c r="B223" s="80" t="s">
        <v>65</v>
      </c>
      <c r="C223" s="42" t="s">
        <v>185</v>
      </c>
      <c r="D223" s="35" t="s">
        <v>72</v>
      </c>
      <c r="E223" s="42" t="s">
        <v>156</v>
      </c>
      <c r="F223" s="80" t="s">
        <v>157</v>
      </c>
      <c r="G223" s="42" t="s">
        <v>158</v>
      </c>
      <c r="H223" s="36">
        <v>8977</v>
      </c>
      <c r="I223" s="36">
        <v>231</v>
      </c>
      <c r="J223" s="55">
        <v>3845585.2995</v>
      </c>
      <c r="K223" s="55">
        <v>12904772.6399</v>
      </c>
      <c r="L223" s="55">
        <v>16750357.9394</v>
      </c>
      <c r="M223" s="38" t="s">
        <v>64</v>
      </c>
    </row>
    <row r="224" spans="2:13" ht="18" customHeight="1" x14ac:dyDescent="0.25">
      <c r="B224" s="79" t="s">
        <v>65</v>
      </c>
      <c r="C224" s="40" t="s">
        <v>185</v>
      </c>
      <c r="D224" s="31" t="s">
        <v>72</v>
      </c>
      <c r="E224" s="40" t="s">
        <v>167</v>
      </c>
      <c r="F224" s="79" t="s">
        <v>168</v>
      </c>
      <c r="G224" s="40" t="s">
        <v>158</v>
      </c>
      <c r="H224" s="32">
        <v>2496</v>
      </c>
      <c r="I224" s="32">
        <v>68</v>
      </c>
      <c r="J224" s="53">
        <v>2951984.1</v>
      </c>
      <c r="K224" s="53">
        <v>8679556.780200001</v>
      </c>
      <c r="L224" s="53">
        <v>11631540.8802</v>
      </c>
      <c r="M224" s="33" t="s">
        <v>64</v>
      </c>
    </row>
    <row r="225" spans="2:13" ht="18" customHeight="1" x14ac:dyDescent="0.25">
      <c r="B225" s="80" t="s">
        <v>65</v>
      </c>
      <c r="C225" s="42" t="s">
        <v>185</v>
      </c>
      <c r="D225" s="35" t="s">
        <v>72</v>
      </c>
      <c r="E225" s="42" t="s">
        <v>169</v>
      </c>
      <c r="F225" s="80" t="s">
        <v>170</v>
      </c>
      <c r="G225" s="42" t="s">
        <v>158</v>
      </c>
      <c r="H225" s="36">
        <v>3011</v>
      </c>
      <c r="I225" s="36">
        <v>79</v>
      </c>
      <c r="J225" s="55">
        <v>1606079.2697</v>
      </c>
      <c r="K225" s="55">
        <v>5476841.0599</v>
      </c>
      <c r="L225" s="55">
        <v>7082920.3296</v>
      </c>
      <c r="M225" s="38" t="s">
        <v>64</v>
      </c>
    </row>
    <row r="226" spans="2:13" ht="18" customHeight="1" x14ac:dyDescent="0.25">
      <c r="B226" s="79" t="s">
        <v>65</v>
      </c>
      <c r="C226" s="40" t="s">
        <v>185</v>
      </c>
      <c r="D226" s="31" t="s">
        <v>72</v>
      </c>
      <c r="E226" s="40" t="s">
        <v>141</v>
      </c>
      <c r="F226" s="79" t="s">
        <v>111</v>
      </c>
      <c r="G226" s="40" t="s">
        <v>112</v>
      </c>
      <c r="H226" s="32">
        <v>17374</v>
      </c>
      <c r="I226" s="32">
        <v>427</v>
      </c>
      <c r="J226" s="53">
        <v>12537188.912</v>
      </c>
      <c r="K226" s="53">
        <v>40487313.3395</v>
      </c>
      <c r="L226" s="53">
        <v>53024502.2515</v>
      </c>
      <c r="M226" s="33" t="s">
        <v>64</v>
      </c>
    </row>
    <row r="227" spans="2:13" ht="18" customHeight="1" x14ac:dyDescent="0.25">
      <c r="B227" s="80" t="s">
        <v>65</v>
      </c>
      <c r="C227" s="42" t="s">
        <v>185</v>
      </c>
      <c r="D227" s="35" t="s">
        <v>72</v>
      </c>
      <c r="E227" s="42" t="s">
        <v>150</v>
      </c>
      <c r="F227" s="80" t="s">
        <v>151</v>
      </c>
      <c r="G227" s="42" t="s">
        <v>112</v>
      </c>
      <c r="H227" s="36">
        <v>6998</v>
      </c>
      <c r="I227" s="36">
        <v>198</v>
      </c>
      <c r="J227" s="55">
        <v>3496884.8002</v>
      </c>
      <c r="K227" s="55">
        <v>10466566.4904</v>
      </c>
      <c r="L227" s="55">
        <v>13963451.2906</v>
      </c>
      <c r="M227" s="38" t="s">
        <v>64</v>
      </c>
    </row>
    <row r="228" spans="2:13" ht="18" customHeight="1" x14ac:dyDescent="0.25">
      <c r="B228" s="79" t="s">
        <v>65</v>
      </c>
      <c r="C228" s="40" t="s">
        <v>185</v>
      </c>
      <c r="D228" s="31" t="s">
        <v>72</v>
      </c>
      <c r="E228" s="40" t="s">
        <v>171</v>
      </c>
      <c r="F228" s="79" t="s">
        <v>172</v>
      </c>
      <c r="G228" s="40" t="s">
        <v>158</v>
      </c>
      <c r="H228" s="32">
        <v>2298</v>
      </c>
      <c r="I228" s="32">
        <v>54</v>
      </c>
      <c r="J228" s="53">
        <v>1058152.6096</v>
      </c>
      <c r="K228" s="53">
        <v>3763314.1596</v>
      </c>
      <c r="L228" s="53">
        <v>4821466.7692</v>
      </c>
      <c r="M228" s="33" t="s">
        <v>64</v>
      </c>
    </row>
    <row r="229" spans="2:13" ht="18" customHeight="1" x14ac:dyDescent="0.25">
      <c r="B229" s="80" t="s">
        <v>65</v>
      </c>
      <c r="C229" s="42" t="s">
        <v>185</v>
      </c>
      <c r="D229" s="35" t="s">
        <v>72</v>
      </c>
      <c r="E229" s="42" t="s">
        <v>173</v>
      </c>
      <c r="F229" s="80" t="s">
        <v>174</v>
      </c>
      <c r="G229" s="42" t="s">
        <v>175</v>
      </c>
      <c r="H229" s="36">
        <v>329</v>
      </c>
      <c r="I229" s="36">
        <v>8</v>
      </c>
      <c r="J229" s="55">
        <v>326327.34</v>
      </c>
      <c r="K229" s="55">
        <v>1305690.3799</v>
      </c>
      <c r="L229" s="55">
        <v>1632017.7199</v>
      </c>
      <c r="M229" s="38" t="s">
        <v>64</v>
      </c>
    </row>
    <row r="230" spans="2:13" ht="18" customHeight="1" x14ac:dyDescent="0.25">
      <c r="B230" s="79" t="s">
        <v>65</v>
      </c>
      <c r="C230" s="40" t="s">
        <v>185</v>
      </c>
      <c r="D230" s="31" t="s">
        <v>72</v>
      </c>
      <c r="E230" s="40" t="s">
        <v>161</v>
      </c>
      <c r="F230" s="79" t="s">
        <v>162</v>
      </c>
      <c r="G230" s="40" t="s">
        <v>158</v>
      </c>
      <c r="H230" s="32">
        <v>4490</v>
      </c>
      <c r="I230" s="32">
        <v>119</v>
      </c>
      <c r="J230" s="53">
        <v>1568457.9205</v>
      </c>
      <c r="K230" s="53">
        <v>4554278.3605</v>
      </c>
      <c r="L230" s="53">
        <v>6122736.281</v>
      </c>
      <c r="M230" s="33" t="s">
        <v>64</v>
      </c>
    </row>
    <row r="231" spans="2:13" ht="18" customHeight="1" x14ac:dyDescent="0.25">
      <c r="B231" s="80" t="s">
        <v>65</v>
      </c>
      <c r="C231" s="42" t="s">
        <v>185</v>
      </c>
      <c r="D231" s="35" t="s">
        <v>72</v>
      </c>
      <c r="E231" s="42" t="s">
        <v>163</v>
      </c>
      <c r="F231" s="80" t="s">
        <v>164</v>
      </c>
      <c r="G231" s="42" t="s">
        <v>158</v>
      </c>
      <c r="H231" s="36">
        <v>4833</v>
      </c>
      <c r="I231" s="36">
        <v>118</v>
      </c>
      <c r="J231" s="55">
        <v>1573569.3602</v>
      </c>
      <c r="K231" s="55">
        <v>5310022.9605</v>
      </c>
      <c r="L231" s="55">
        <v>6883592.3207</v>
      </c>
      <c r="M231" s="38" t="s">
        <v>64</v>
      </c>
    </row>
    <row r="232" spans="2:13" ht="18" customHeight="1" x14ac:dyDescent="0.25">
      <c r="B232" s="79" t="s">
        <v>65</v>
      </c>
      <c r="C232" s="40" t="s">
        <v>185</v>
      </c>
      <c r="D232" s="31" t="s">
        <v>72</v>
      </c>
      <c r="E232" s="40" t="s">
        <v>152</v>
      </c>
      <c r="F232" s="79" t="s">
        <v>153</v>
      </c>
      <c r="G232" s="40" t="s">
        <v>108</v>
      </c>
      <c r="H232" s="32">
        <v>5409</v>
      </c>
      <c r="I232" s="32">
        <v>116</v>
      </c>
      <c r="J232" s="53">
        <v>1424111.35</v>
      </c>
      <c r="K232" s="53">
        <v>6207657.5697</v>
      </c>
      <c r="L232" s="53">
        <v>7631768.9197</v>
      </c>
      <c r="M232" s="33" t="s">
        <v>64</v>
      </c>
    </row>
    <row r="233" spans="2:13" ht="18" customHeight="1" x14ac:dyDescent="0.25">
      <c r="B233" s="80" t="s">
        <v>65</v>
      </c>
      <c r="C233" s="42" t="s">
        <v>185</v>
      </c>
      <c r="D233" s="35" t="s">
        <v>72</v>
      </c>
      <c r="E233" s="42" t="s">
        <v>148</v>
      </c>
      <c r="F233" s="80" t="s">
        <v>149</v>
      </c>
      <c r="G233" s="42" t="s">
        <v>108</v>
      </c>
      <c r="H233" s="36">
        <v>11411</v>
      </c>
      <c r="I233" s="36">
        <v>291</v>
      </c>
      <c r="J233" s="55">
        <v>4573908.5401</v>
      </c>
      <c r="K233" s="55">
        <v>12963832.0396</v>
      </c>
      <c r="L233" s="55">
        <v>17537740.5797</v>
      </c>
      <c r="M233" s="38" t="s">
        <v>64</v>
      </c>
    </row>
    <row r="234" spans="2:13" ht="18" customHeight="1" x14ac:dyDescent="0.25">
      <c r="B234" s="79" t="s">
        <v>65</v>
      </c>
      <c r="C234" s="40" t="s">
        <v>208</v>
      </c>
      <c r="D234" s="31" t="s">
        <v>74</v>
      </c>
      <c r="E234" s="40" t="s">
        <v>146</v>
      </c>
      <c r="F234" s="79" t="s">
        <v>120</v>
      </c>
      <c r="G234" s="40" t="s">
        <v>112</v>
      </c>
      <c r="H234" s="32">
        <v>6335</v>
      </c>
      <c r="I234" s="32">
        <v>170</v>
      </c>
      <c r="J234" s="53">
        <v>2068765.6088</v>
      </c>
      <c r="K234" s="53">
        <v>7838414.9394</v>
      </c>
      <c r="L234" s="53">
        <v>9907180.5482</v>
      </c>
      <c r="M234" s="33" t="s">
        <v>64</v>
      </c>
    </row>
    <row r="235" spans="2:13" ht="18" customHeight="1" x14ac:dyDescent="0.25">
      <c r="B235" s="80" t="s">
        <v>65</v>
      </c>
      <c r="C235" s="42" t="s">
        <v>208</v>
      </c>
      <c r="D235" s="35" t="s">
        <v>74</v>
      </c>
      <c r="E235" s="42" t="s">
        <v>154</v>
      </c>
      <c r="F235" s="80" t="s">
        <v>155</v>
      </c>
      <c r="G235" s="42" t="s">
        <v>112</v>
      </c>
      <c r="H235" s="36">
        <v>3333</v>
      </c>
      <c r="I235" s="36">
        <v>105</v>
      </c>
      <c r="J235" s="55">
        <v>922434.5901</v>
      </c>
      <c r="K235" s="55">
        <v>3617433.7702</v>
      </c>
      <c r="L235" s="55">
        <v>4539868.3603</v>
      </c>
      <c r="M235" s="38" t="s">
        <v>64</v>
      </c>
    </row>
    <row r="236" spans="2:13" ht="18" customHeight="1" x14ac:dyDescent="0.25">
      <c r="B236" s="79" t="s">
        <v>65</v>
      </c>
      <c r="C236" s="40" t="s">
        <v>208</v>
      </c>
      <c r="D236" s="31" t="s">
        <v>74</v>
      </c>
      <c r="E236" s="40" t="s">
        <v>159</v>
      </c>
      <c r="F236" s="79" t="s">
        <v>160</v>
      </c>
      <c r="G236" s="40" t="s">
        <v>112</v>
      </c>
      <c r="H236" s="32">
        <v>5018</v>
      </c>
      <c r="I236" s="32">
        <v>139</v>
      </c>
      <c r="J236" s="53">
        <v>1811822.56</v>
      </c>
      <c r="K236" s="53">
        <v>5091777.6105</v>
      </c>
      <c r="L236" s="53">
        <v>6903600.1705</v>
      </c>
      <c r="M236" s="33" t="s">
        <v>64</v>
      </c>
    </row>
    <row r="237" spans="2:13" ht="18" customHeight="1" x14ac:dyDescent="0.25">
      <c r="B237" s="80" t="s">
        <v>65</v>
      </c>
      <c r="C237" s="42" t="s">
        <v>208</v>
      </c>
      <c r="D237" s="35" t="s">
        <v>74</v>
      </c>
      <c r="E237" s="42" t="s">
        <v>165</v>
      </c>
      <c r="F237" s="80" t="s">
        <v>166</v>
      </c>
      <c r="G237" s="42" t="s">
        <v>112</v>
      </c>
      <c r="H237" s="36">
        <v>2312</v>
      </c>
      <c r="I237" s="36">
        <v>40</v>
      </c>
      <c r="J237" s="55">
        <v>601715.8403</v>
      </c>
      <c r="K237" s="55">
        <v>1436230.5605</v>
      </c>
      <c r="L237" s="55">
        <v>2037946.4008</v>
      </c>
      <c r="M237" s="38" t="s">
        <v>64</v>
      </c>
    </row>
    <row r="238" spans="2:13" ht="18" customHeight="1" x14ac:dyDescent="0.25">
      <c r="B238" s="79" t="s">
        <v>65</v>
      </c>
      <c r="C238" s="40" t="s">
        <v>208</v>
      </c>
      <c r="D238" s="31" t="s">
        <v>74</v>
      </c>
      <c r="E238" s="40" t="s">
        <v>145</v>
      </c>
      <c r="F238" s="79" t="s">
        <v>115</v>
      </c>
      <c r="G238" s="40" t="s">
        <v>112</v>
      </c>
      <c r="H238" s="32">
        <v>4291</v>
      </c>
      <c r="I238" s="32">
        <v>107</v>
      </c>
      <c r="J238" s="53">
        <v>1290838.8793</v>
      </c>
      <c r="K238" s="53">
        <v>3473705.0494</v>
      </c>
      <c r="L238" s="53">
        <v>4764543.9287</v>
      </c>
      <c r="M238" s="33" t="s">
        <v>64</v>
      </c>
    </row>
    <row r="239" spans="2:13" ht="18" customHeight="1" x14ac:dyDescent="0.25">
      <c r="B239" s="80" t="s">
        <v>65</v>
      </c>
      <c r="C239" s="42" t="s">
        <v>208</v>
      </c>
      <c r="D239" s="35" t="s">
        <v>74</v>
      </c>
      <c r="E239" s="42" t="s">
        <v>143</v>
      </c>
      <c r="F239" s="80" t="s">
        <v>114</v>
      </c>
      <c r="G239" s="42" t="s">
        <v>112</v>
      </c>
      <c r="H239" s="36">
        <v>8061</v>
      </c>
      <c r="I239" s="36">
        <v>191</v>
      </c>
      <c r="J239" s="55">
        <v>2832582.2696</v>
      </c>
      <c r="K239" s="55">
        <v>9268113.409700001</v>
      </c>
      <c r="L239" s="55">
        <v>12100695.6793</v>
      </c>
      <c r="M239" s="38" t="s">
        <v>64</v>
      </c>
    </row>
    <row r="240" spans="2:13" ht="18" customHeight="1" x14ac:dyDescent="0.25">
      <c r="B240" s="79" t="s">
        <v>65</v>
      </c>
      <c r="C240" s="40" t="s">
        <v>208</v>
      </c>
      <c r="D240" s="31" t="s">
        <v>74</v>
      </c>
      <c r="E240" s="40" t="s">
        <v>147</v>
      </c>
      <c r="F240" s="79" t="s">
        <v>127</v>
      </c>
      <c r="G240" s="40" t="s">
        <v>108</v>
      </c>
      <c r="H240" s="32">
        <v>3606</v>
      </c>
      <c r="I240" s="32">
        <v>93</v>
      </c>
      <c r="J240" s="53">
        <v>1006918.1309</v>
      </c>
      <c r="K240" s="53">
        <v>3544334.0996</v>
      </c>
      <c r="L240" s="53">
        <v>4551252.2305</v>
      </c>
      <c r="M240" s="33" t="s">
        <v>64</v>
      </c>
    </row>
    <row r="241" spans="2:13" ht="18" customHeight="1" x14ac:dyDescent="0.25">
      <c r="B241" s="80" t="s">
        <v>65</v>
      </c>
      <c r="C241" s="42" t="s">
        <v>208</v>
      </c>
      <c r="D241" s="35" t="s">
        <v>74</v>
      </c>
      <c r="E241" s="42" t="s">
        <v>142</v>
      </c>
      <c r="F241" s="80" t="s">
        <v>113</v>
      </c>
      <c r="G241" s="42" t="s">
        <v>108</v>
      </c>
      <c r="H241" s="36">
        <v>4295</v>
      </c>
      <c r="I241" s="36">
        <v>103</v>
      </c>
      <c r="J241" s="55">
        <v>2658488.5739</v>
      </c>
      <c r="K241" s="55">
        <v>7439297.2394</v>
      </c>
      <c r="L241" s="55">
        <v>10097785.8133</v>
      </c>
      <c r="M241" s="38" t="s">
        <v>64</v>
      </c>
    </row>
    <row r="242" spans="2:13" ht="18" customHeight="1" x14ac:dyDescent="0.25">
      <c r="B242" s="79" t="s">
        <v>65</v>
      </c>
      <c r="C242" s="40" t="s">
        <v>208</v>
      </c>
      <c r="D242" s="31" t="s">
        <v>74</v>
      </c>
      <c r="E242" s="40" t="s">
        <v>138</v>
      </c>
      <c r="F242" s="79" t="s">
        <v>107</v>
      </c>
      <c r="G242" s="40" t="s">
        <v>108</v>
      </c>
      <c r="H242" s="32">
        <v>15707</v>
      </c>
      <c r="I242" s="32">
        <v>335</v>
      </c>
      <c r="J242" s="53">
        <v>3135853.2002</v>
      </c>
      <c r="K242" s="53">
        <v>10482172.5505</v>
      </c>
      <c r="L242" s="53">
        <v>13618025.7507</v>
      </c>
      <c r="M242" s="33" t="s">
        <v>64</v>
      </c>
    </row>
    <row r="243" spans="2:13" ht="18" customHeight="1" x14ac:dyDescent="0.25">
      <c r="B243" s="80" t="s">
        <v>65</v>
      </c>
      <c r="C243" s="42" t="s">
        <v>208</v>
      </c>
      <c r="D243" s="35" t="s">
        <v>74</v>
      </c>
      <c r="E243" s="42" t="s">
        <v>119</v>
      </c>
      <c r="F243" s="80" t="s">
        <v>118</v>
      </c>
      <c r="G243" s="42" t="s">
        <v>112</v>
      </c>
      <c r="H243" s="36">
        <v>4514</v>
      </c>
      <c r="I243" s="36">
        <v>109</v>
      </c>
      <c r="J243" s="55">
        <v>1653960.6064</v>
      </c>
      <c r="K243" s="55">
        <v>6136051.6008</v>
      </c>
      <c r="L243" s="55">
        <v>7790012.2072</v>
      </c>
      <c r="M243" s="38" t="s">
        <v>64</v>
      </c>
    </row>
    <row r="244" spans="2:13" ht="18" customHeight="1" x14ac:dyDescent="0.25">
      <c r="B244" s="79" t="s">
        <v>65</v>
      </c>
      <c r="C244" s="40" t="s">
        <v>208</v>
      </c>
      <c r="D244" s="31" t="s">
        <v>74</v>
      </c>
      <c r="E244" s="40" t="s">
        <v>144</v>
      </c>
      <c r="F244" s="79" t="s">
        <v>116</v>
      </c>
      <c r="G244" s="40" t="s">
        <v>112</v>
      </c>
      <c r="H244" s="32">
        <v>9854</v>
      </c>
      <c r="I244" s="32">
        <v>266</v>
      </c>
      <c r="J244" s="53">
        <v>2859396.7598</v>
      </c>
      <c r="K244" s="53">
        <v>8415739.0912</v>
      </c>
      <c r="L244" s="53">
        <v>11275135.851</v>
      </c>
      <c r="M244" s="33" t="s">
        <v>64</v>
      </c>
    </row>
    <row r="245" spans="2:13" ht="18" customHeight="1" x14ac:dyDescent="0.25">
      <c r="B245" s="80" t="s">
        <v>65</v>
      </c>
      <c r="C245" s="42" t="s">
        <v>208</v>
      </c>
      <c r="D245" s="35" t="s">
        <v>74</v>
      </c>
      <c r="E245" s="42" t="s">
        <v>140</v>
      </c>
      <c r="F245" s="80" t="s">
        <v>110</v>
      </c>
      <c r="G245" s="42" t="s">
        <v>108</v>
      </c>
      <c r="H245" s="36">
        <v>6956</v>
      </c>
      <c r="I245" s="36">
        <v>147</v>
      </c>
      <c r="J245" s="55">
        <v>1476906.1195</v>
      </c>
      <c r="K245" s="55">
        <v>5654912.0206</v>
      </c>
      <c r="L245" s="55">
        <v>7131818.1401</v>
      </c>
      <c r="M245" s="38" t="s">
        <v>64</v>
      </c>
    </row>
    <row r="246" spans="2:13" ht="18" customHeight="1" x14ac:dyDescent="0.25">
      <c r="B246" s="79" t="s">
        <v>65</v>
      </c>
      <c r="C246" s="40" t="s">
        <v>208</v>
      </c>
      <c r="D246" s="31" t="s">
        <v>74</v>
      </c>
      <c r="E246" s="40" t="s">
        <v>139</v>
      </c>
      <c r="F246" s="79" t="s">
        <v>109</v>
      </c>
      <c r="G246" s="40" t="s">
        <v>108</v>
      </c>
      <c r="H246" s="32">
        <v>11630</v>
      </c>
      <c r="I246" s="32">
        <v>271</v>
      </c>
      <c r="J246" s="53">
        <v>2700657.33</v>
      </c>
      <c r="K246" s="53">
        <v>8640474.2925</v>
      </c>
      <c r="L246" s="53">
        <v>11341131.6225</v>
      </c>
      <c r="M246" s="33" t="s">
        <v>64</v>
      </c>
    </row>
    <row r="247" spans="2:13" ht="18" customHeight="1" x14ac:dyDescent="0.25">
      <c r="B247" s="80" t="s">
        <v>65</v>
      </c>
      <c r="C247" s="42" t="s">
        <v>208</v>
      </c>
      <c r="D247" s="35" t="s">
        <v>74</v>
      </c>
      <c r="E247" s="42" t="s">
        <v>156</v>
      </c>
      <c r="F247" s="80" t="s">
        <v>157</v>
      </c>
      <c r="G247" s="42" t="s">
        <v>158</v>
      </c>
      <c r="H247" s="36">
        <v>2437</v>
      </c>
      <c r="I247" s="36">
        <v>55</v>
      </c>
      <c r="J247" s="55">
        <v>1005773.9</v>
      </c>
      <c r="K247" s="55">
        <v>3240108.59</v>
      </c>
      <c r="L247" s="55">
        <v>4245882.49</v>
      </c>
      <c r="M247" s="38" t="s">
        <v>64</v>
      </c>
    </row>
    <row r="248" spans="2:13" ht="18" customHeight="1" x14ac:dyDescent="0.25">
      <c r="B248" s="79" t="s">
        <v>65</v>
      </c>
      <c r="C248" s="40" t="s">
        <v>208</v>
      </c>
      <c r="D248" s="31" t="s">
        <v>74</v>
      </c>
      <c r="E248" s="40" t="s">
        <v>167</v>
      </c>
      <c r="F248" s="79" t="s">
        <v>168</v>
      </c>
      <c r="G248" s="40" t="s">
        <v>158</v>
      </c>
      <c r="H248" s="32">
        <v>1825</v>
      </c>
      <c r="I248" s="32">
        <v>52</v>
      </c>
      <c r="J248" s="53">
        <v>620132.9203999999</v>
      </c>
      <c r="K248" s="53">
        <v>1615220.7695</v>
      </c>
      <c r="L248" s="53">
        <v>2235353.6899</v>
      </c>
      <c r="M248" s="33" t="s">
        <v>64</v>
      </c>
    </row>
    <row r="249" spans="2:13" ht="18" customHeight="1" x14ac:dyDescent="0.25">
      <c r="B249" s="80" t="s">
        <v>65</v>
      </c>
      <c r="C249" s="42" t="s">
        <v>208</v>
      </c>
      <c r="D249" s="35" t="s">
        <v>74</v>
      </c>
      <c r="E249" s="42" t="s">
        <v>169</v>
      </c>
      <c r="F249" s="80" t="s">
        <v>170</v>
      </c>
      <c r="G249" s="42" t="s">
        <v>158</v>
      </c>
      <c r="H249" s="36">
        <v>784</v>
      </c>
      <c r="I249" s="36">
        <v>20</v>
      </c>
      <c r="J249" s="55">
        <v>308628.9297</v>
      </c>
      <c r="K249" s="55">
        <v>1075432.7102</v>
      </c>
      <c r="L249" s="55">
        <v>1384061.6399</v>
      </c>
      <c r="M249" s="38" t="s">
        <v>64</v>
      </c>
    </row>
    <row r="250" spans="2:13" ht="18" customHeight="1" x14ac:dyDescent="0.25">
      <c r="B250" s="79" t="s">
        <v>65</v>
      </c>
      <c r="C250" s="40" t="s">
        <v>208</v>
      </c>
      <c r="D250" s="31" t="s">
        <v>74</v>
      </c>
      <c r="E250" s="40" t="s">
        <v>141</v>
      </c>
      <c r="F250" s="79" t="s">
        <v>111</v>
      </c>
      <c r="G250" s="40" t="s">
        <v>112</v>
      </c>
      <c r="H250" s="32">
        <v>6767</v>
      </c>
      <c r="I250" s="32">
        <v>174</v>
      </c>
      <c r="J250" s="53">
        <v>3321470.0132</v>
      </c>
      <c r="K250" s="53">
        <v>10923681.7181</v>
      </c>
      <c r="L250" s="53">
        <v>14245151.7313</v>
      </c>
      <c r="M250" s="33" t="s">
        <v>64</v>
      </c>
    </row>
    <row r="251" spans="2:13" ht="18" customHeight="1" x14ac:dyDescent="0.25">
      <c r="B251" s="80" t="s">
        <v>65</v>
      </c>
      <c r="C251" s="42" t="s">
        <v>208</v>
      </c>
      <c r="D251" s="35" t="s">
        <v>74</v>
      </c>
      <c r="E251" s="42" t="s">
        <v>150</v>
      </c>
      <c r="F251" s="80" t="s">
        <v>151</v>
      </c>
      <c r="G251" s="42" t="s">
        <v>112</v>
      </c>
      <c r="H251" s="36">
        <v>6324</v>
      </c>
      <c r="I251" s="36">
        <v>152</v>
      </c>
      <c r="J251" s="55">
        <v>1655157.2499</v>
      </c>
      <c r="K251" s="55">
        <v>5065462.2087</v>
      </c>
      <c r="L251" s="55">
        <v>6720619.4586</v>
      </c>
      <c r="M251" s="38" t="s">
        <v>64</v>
      </c>
    </row>
    <row r="252" spans="2:13" ht="18" customHeight="1" x14ac:dyDescent="0.25">
      <c r="B252" s="79" t="s">
        <v>65</v>
      </c>
      <c r="C252" s="40" t="s">
        <v>208</v>
      </c>
      <c r="D252" s="31" t="s">
        <v>74</v>
      </c>
      <c r="E252" s="40" t="s">
        <v>171</v>
      </c>
      <c r="F252" s="79" t="s">
        <v>172</v>
      </c>
      <c r="G252" s="40" t="s">
        <v>158</v>
      </c>
      <c r="H252" s="32">
        <v>1748</v>
      </c>
      <c r="I252" s="32">
        <v>46</v>
      </c>
      <c r="J252" s="53">
        <v>652653.1898000001</v>
      </c>
      <c r="K252" s="53">
        <v>2035320.669</v>
      </c>
      <c r="L252" s="53">
        <v>2687973.8588</v>
      </c>
      <c r="M252" s="33" t="s">
        <v>64</v>
      </c>
    </row>
    <row r="253" spans="2:13" ht="18" customHeight="1" x14ac:dyDescent="0.25">
      <c r="B253" s="80" t="s">
        <v>65</v>
      </c>
      <c r="C253" s="42" t="s">
        <v>208</v>
      </c>
      <c r="D253" s="35" t="s">
        <v>74</v>
      </c>
      <c r="E253" s="42" t="s">
        <v>173</v>
      </c>
      <c r="F253" s="80" t="s">
        <v>174</v>
      </c>
      <c r="G253" s="42" t="s">
        <v>175</v>
      </c>
      <c r="H253" s="36">
        <v>194</v>
      </c>
      <c r="I253" s="36">
        <v>5</v>
      </c>
      <c r="J253" s="55">
        <v>89620.94</v>
      </c>
      <c r="K253" s="55">
        <v>211808.94</v>
      </c>
      <c r="L253" s="55">
        <v>301429.88</v>
      </c>
      <c r="M253" s="38" t="s">
        <v>64</v>
      </c>
    </row>
    <row r="254" spans="2:13" ht="18" customHeight="1" x14ac:dyDescent="0.25">
      <c r="B254" s="79" t="s">
        <v>65</v>
      </c>
      <c r="C254" s="40" t="s">
        <v>208</v>
      </c>
      <c r="D254" s="31" t="s">
        <v>74</v>
      </c>
      <c r="E254" s="40" t="s">
        <v>161</v>
      </c>
      <c r="F254" s="79" t="s">
        <v>162</v>
      </c>
      <c r="G254" s="40" t="s">
        <v>158</v>
      </c>
      <c r="H254" s="32">
        <v>2641</v>
      </c>
      <c r="I254" s="32">
        <v>66</v>
      </c>
      <c r="J254" s="53">
        <v>691455.4706</v>
      </c>
      <c r="K254" s="53">
        <v>2064971.199</v>
      </c>
      <c r="L254" s="53">
        <v>2756426.6696</v>
      </c>
      <c r="M254" s="33" t="s">
        <v>64</v>
      </c>
    </row>
    <row r="255" spans="2:13" ht="18" customHeight="1" x14ac:dyDescent="0.25">
      <c r="B255" s="80" t="s">
        <v>65</v>
      </c>
      <c r="C255" s="42" t="s">
        <v>208</v>
      </c>
      <c r="D255" s="35" t="s">
        <v>74</v>
      </c>
      <c r="E255" s="42" t="s">
        <v>163</v>
      </c>
      <c r="F255" s="80" t="s">
        <v>164</v>
      </c>
      <c r="G255" s="42" t="s">
        <v>158</v>
      </c>
      <c r="H255" s="36">
        <v>1782</v>
      </c>
      <c r="I255" s="36">
        <v>46</v>
      </c>
      <c r="J255" s="55">
        <v>429204.8205</v>
      </c>
      <c r="K255" s="55">
        <v>1106838.9302</v>
      </c>
      <c r="L255" s="55">
        <v>1536043.7507</v>
      </c>
      <c r="M255" s="38" t="s">
        <v>64</v>
      </c>
    </row>
    <row r="256" spans="2:13" ht="18" customHeight="1" x14ac:dyDescent="0.25">
      <c r="B256" s="79" t="s">
        <v>65</v>
      </c>
      <c r="C256" s="40" t="s">
        <v>208</v>
      </c>
      <c r="D256" s="31" t="s">
        <v>74</v>
      </c>
      <c r="E256" s="40" t="s">
        <v>152</v>
      </c>
      <c r="F256" s="79" t="s">
        <v>153</v>
      </c>
      <c r="G256" s="40" t="s">
        <v>108</v>
      </c>
      <c r="H256" s="32">
        <v>1509</v>
      </c>
      <c r="I256" s="32">
        <v>29</v>
      </c>
      <c r="J256" s="53">
        <v>251928.08</v>
      </c>
      <c r="K256" s="53">
        <v>1193270.0499</v>
      </c>
      <c r="L256" s="53">
        <v>1445198.1299</v>
      </c>
      <c r="M256" s="33" t="s">
        <v>64</v>
      </c>
    </row>
    <row r="257" spans="2:13" ht="18" customHeight="1" x14ac:dyDescent="0.25">
      <c r="B257" s="80" t="s">
        <v>65</v>
      </c>
      <c r="C257" s="42" t="s">
        <v>208</v>
      </c>
      <c r="D257" s="35" t="s">
        <v>74</v>
      </c>
      <c r="E257" s="42" t="s">
        <v>148</v>
      </c>
      <c r="F257" s="80" t="s">
        <v>149</v>
      </c>
      <c r="G257" s="42" t="s">
        <v>108</v>
      </c>
      <c r="H257" s="36">
        <v>2774</v>
      </c>
      <c r="I257" s="36">
        <v>71</v>
      </c>
      <c r="J257" s="55">
        <v>563666.5999</v>
      </c>
      <c r="K257" s="55">
        <v>1632833.8198</v>
      </c>
      <c r="L257" s="55">
        <v>2196500.4197</v>
      </c>
      <c r="M257" s="38" t="s">
        <v>64</v>
      </c>
    </row>
    <row r="258" spans="2:13" ht="18" customHeight="1" x14ac:dyDescent="0.25">
      <c r="B258" s="79" t="s">
        <v>65</v>
      </c>
      <c r="C258" s="40" t="s">
        <v>209</v>
      </c>
      <c r="D258" s="31" t="s">
        <v>77</v>
      </c>
      <c r="E258" s="40" t="s">
        <v>146</v>
      </c>
      <c r="F258" s="79" t="s">
        <v>120</v>
      </c>
      <c r="G258" s="40" t="s">
        <v>112</v>
      </c>
      <c r="H258" s="32">
        <v>1288</v>
      </c>
      <c r="I258" s="32">
        <v>42</v>
      </c>
      <c r="J258" s="53">
        <v>660987.8297</v>
      </c>
      <c r="K258" s="53">
        <v>2545964.8803</v>
      </c>
      <c r="L258" s="53">
        <v>3206952.71</v>
      </c>
      <c r="M258" s="33" t="s">
        <v>64</v>
      </c>
    </row>
    <row r="259" spans="2:13" ht="18" customHeight="1" x14ac:dyDescent="0.25">
      <c r="B259" s="80" t="s">
        <v>65</v>
      </c>
      <c r="C259" s="42" t="s">
        <v>209</v>
      </c>
      <c r="D259" s="35" t="s">
        <v>77</v>
      </c>
      <c r="E259" s="42" t="s">
        <v>154</v>
      </c>
      <c r="F259" s="80" t="s">
        <v>155</v>
      </c>
      <c r="G259" s="42" t="s">
        <v>112</v>
      </c>
      <c r="H259" s="36">
        <v>1068</v>
      </c>
      <c r="I259" s="36">
        <v>36</v>
      </c>
      <c r="J259" s="55">
        <v>120059.0799</v>
      </c>
      <c r="K259" s="55">
        <v>754830.9102</v>
      </c>
      <c r="L259" s="55">
        <v>874889.9901000001</v>
      </c>
      <c r="M259" s="38" t="s">
        <v>64</v>
      </c>
    </row>
    <row r="260" spans="2:13" ht="18" customHeight="1" x14ac:dyDescent="0.25">
      <c r="B260" s="79" t="s">
        <v>65</v>
      </c>
      <c r="C260" s="40" t="s">
        <v>209</v>
      </c>
      <c r="D260" s="31" t="s">
        <v>77</v>
      </c>
      <c r="E260" s="40" t="s">
        <v>159</v>
      </c>
      <c r="F260" s="79" t="s">
        <v>160</v>
      </c>
      <c r="G260" s="40" t="s">
        <v>112</v>
      </c>
      <c r="H260" s="32">
        <v>872</v>
      </c>
      <c r="I260" s="32">
        <v>29</v>
      </c>
      <c r="J260" s="53">
        <v>345928.9888</v>
      </c>
      <c r="K260" s="53">
        <v>1048813.1706</v>
      </c>
      <c r="L260" s="53">
        <v>1394742.1594</v>
      </c>
      <c r="M260" s="33" t="s">
        <v>64</v>
      </c>
    </row>
    <row r="261" spans="2:13" ht="18" customHeight="1" x14ac:dyDescent="0.25">
      <c r="B261" s="80" t="s">
        <v>65</v>
      </c>
      <c r="C261" s="42" t="s">
        <v>209</v>
      </c>
      <c r="D261" s="35" t="s">
        <v>77</v>
      </c>
      <c r="E261" s="42" t="s">
        <v>165</v>
      </c>
      <c r="F261" s="80" t="s">
        <v>166</v>
      </c>
      <c r="G261" s="42" t="s">
        <v>112</v>
      </c>
      <c r="H261" s="36">
        <v>540</v>
      </c>
      <c r="I261" s="36">
        <v>18</v>
      </c>
      <c r="J261" s="55">
        <v>136200.6</v>
      </c>
      <c r="K261" s="55">
        <v>390389.4501</v>
      </c>
      <c r="L261" s="55">
        <v>526590.0501</v>
      </c>
      <c r="M261" s="38" t="s">
        <v>64</v>
      </c>
    </row>
    <row r="262" spans="2:13" ht="18" customHeight="1" x14ac:dyDescent="0.25">
      <c r="B262" s="79" t="s">
        <v>65</v>
      </c>
      <c r="C262" s="40" t="s">
        <v>209</v>
      </c>
      <c r="D262" s="31" t="s">
        <v>77</v>
      </c>
      <c r="E262" s="40" t="s">
        <v>145</v>
      </c>
      <c r="F262" s="79" t="s">
        <v>115</v>
      </c>
      <c r="G262" s="40" t="s">
        <v>112</v>
      </c>
      <c r="H262" s="32">
        <v>1135</v>
      </c>
      <c r="I262" s="32">
        <v>38</v>
      </c>
      <c r="J262" s="53">
        <v>273062.88</v>
      </c>
      <c r="K262" s="53">
        <v>563533.1708</v>
      </c>
      <c r="L262" s="53">
        <v>836596.0508</v>
      </c>
      <c r="M262" s="33" t="s">
        <v>64</v>
      </c>
    </row>
    <row r="263" spans="2:13" ht="18" customHeight="1" x14ac:dyDescent="0.25">
      <c r="B263" s="80" t="s">
        <v>65</v>
      </c>
      <c r="C263" s="42" t="s">
        <v>209</v>
      </c>
      <c r="D263" s="35" t="s">
        <v>77</v>
      </c>
      <c r="E263" s="42" t="s">
        <v>143</v>
      </c>
      <c r="F263" s="80" t="s">
        <v>114</v>
      </c>
      <c r="G263" s="42" t="s">
        <v>112</v>
      </c>
      <c r="H263" s="36">
        <v>957</v>
      </c>
      <c r="I263" s="36">
        <v>31</v>
      </c>
      <c r="J263" s="55">
        <v>575082.9898</v>
      </c>
      <c r="K263" s="55">
        <v>1962540.0192</v>
      </c>
      <c r="L263" s="55">
        <v>2537623.009</v>
      </c>
      <c r="M263" s="38" t="s">
        <v>64</v>
      </c>
    </row>
    <row r="264" spans="2:13" ht="18" customHeight="1" x14ac:dyDescent="0.25">
      <c r="B264" s="79" t="s">
        <v>65</v>
      </c>
      <c r="C264" s="40" t="s">
        <v>209</v>
      </c>
      <c r="D264" s="31" t="s">
        <v>77</v>
      </c>
      <c r="E264" s="40" t="s">
        <v>147</v>
      </c>
      <c r="F264" s="79" t="s">
        <v>127</v>
      </c>
      <c r="G264" s="40" t="s">
        <v>108</v>
      </c>
      <c r="H264" s="32">
        <v>2129</v>
      </c>
      <c r="I264" s="32">
        <v>71</v>
      </c>
      <c r="J264" s="53">
        <v>477846.0981</v>
      </c>
      <c r="K264" s="53">
        <v>1888701.5782</v>
      </c>
      <c r="L264" s="53">
        <v>2366547.6763</v>
      </c>
      <c r="M264" s="33" t="s">
        <v>64</v>
      </c>
    </row>
    <row r="265" spans="2:13" ht="18" customHeight="1" x14ac:dyDescent="0.25">
      <c r="B265" s="80" t="s">
        <v>65</v>
      </c>
      <c r="C265" s="42" t="s">
        <v>209</v>
      </c>
      <c r="D265" s="35" t="s">
        <v>77</v>
      </c>
      <c r="E265" s="42" t="s">
        <v>142</v>
      </c>
      <c r="F265" s="80" t="s">
        <v>113</v>
      </c>
      <c r="G265" s="42" t="s">
        <v>108</v>
      </c>
      <c r="H265" s="36">
        <v>1611</v>
      </c>
      <c r="I265" s="36">
        <v>54</v>
      </c>
      <c r="J265" s="55">
        <v>546873.2918</v>
      </c>
      <c r="K265" s="55">
        <v>1265501.9302</v>
      </c>
      <c r="L265" s="55">
        <v>1812375.222</v>
      </c>
      <c r="M265" s="38" t="s">
        <v>64</v>
      </c>
    </row>
    <row r="266" spans="2:13" ht="18" customHeight="1" x14ac:dyDescent="0.25">
      <c r="B266" s="79" t="s">
        <v>65</v>
      </c>
      <c r="C266" s="40" t="s">
        <v>209</v>
      </c>
      <c r="D266" s="31" t="s">
        <v>77</v>
      </c>
      <c r="E266" s="40" t="s">
        <v>138</v>
      </c>
      <c r="F266" s="79" t="s">
        <v>107</v>
      </c>
      <c r="G266" s="40" t="s">
        <v>108</v>
      </c>
      <c r="H266" s="32">
        <v>6198</v>
      </c>
      <c r="I266" s="32">
        <v>206</v>
      </c>
      <c r="J266" s="53">
        <v>2051607.7899</v>
      </c>
      <c r="K266" s="53">
        <v>6822606.271</v>
      </c>
      <c r="L266" s="53">
        <v>8874214.060900001</v>
      </c>
      <c r="M266" s="33" t="s">
        <v>64</v>
      </c>
    </row>
    <row r="267" spans="2:13" ht="18" customHeight="1" x14ac:dyDescent="0.25">
      <c r="B267" s="80" t="s">
        <v>65</v>
      </c>
      <c r="C267" s="42" t="s">
        <v>209</v>
      </c>
      <c r="D267" s="35" t="s">
        <v>77</v>
      </c>
      <c r="E267" s="42" t="s">
        <v>119</v>
      </c>
      <c r="F267" s="80" t="s">
        <v>118</v>
      </c>
      <c r="G267" s="42" t="s">
        <v>112</v>
      </c>
      <c r="H267" s="36">
        <v>1228</v>
      </c>
      <c r="I267" s="36">
        <v>41</v>
      </c>
      <c r="J267" s="55">
        <v>198144.007</v>
      </c>
      <c r="K267" s="55">
        <v>688421.6465</v>
      </c>
      <c r="L267" s="55">
        <v>886565.6535</v>
      </c>
      <c r="M267" s="38" t="s">
        <v>64</v>
      </c>
    </row>
    <row r="268" spans="2:13" ht="18" customHeight="1" x14ac:dyDescent="0.25">
      <c r="B268" s="79" t="s">
        <v>65</v>
      </c>
      <c r="C268" s="40" t="s">
        <v>209</v>
      </c>
      <c r="D268" s="31" t="s">
        <v>77</v>
      </c>
      <c r="E268" s="40" t="s">
        <v>144</v>
      </c>
      <c r="F268" s="79" t="s">
        <v>116</v>
      </c>
      <c r="G268" s="40" t="s">
        <v>112</v>
      </c>
      <c r="H268" s="32">
        <v>2339</v>
      </c>
      <c r="I268" s="32">
        <v>77</v>
      </c>
      <c r="J268" s="53">
        <v>952639.8206</v>
      </c>
      <c r="K268" s="53">
        <v>2627661.4572</v>
      </c>
      <c r="L268" s="53">
        <v>3580301.2778</v>
      </c>
      <c r="M268" s="33" t="s">
        <v>64</v>
      </c>
    </row>
    <row r="269" spans="2:13" ht="18" customHeight="1" x14ac:dyDescent="0.25">
      <c r="B269" s="80" t="s">
        <v>65</v>
      </c>
      <c r="C269" s="42" t="s">
        <v>209</v>
      </c>
      <c r="D269" s="35" t="s">
        <v>77</v>
      </c>
      <c r="E269" s="42" t="s">
        <v>140</v>
      </c>
      <c r="F269" s="80" t="s">
        <v>110</v>
      </c>
      <c r="G269" s="42" t="s">
        <v>108</v>
      </c>
      <c r="H269" s="36">
        <v>1939</v>
      </c>
      <c r="I269" s="36">
        <v>68</v>
      </c>
      <c r="J269" s="55">
        <v>509467.9601</v>
      </c>
      <c r="K269" s="55">
        <v>2133885.3712</v>
      </c>
      <c r="L269" s="55">
        <v>2643353.3313</v>
      </c>
      <c r="M269" s="38" t="s">
        <v>64</v>
      </c>
    </row>
    <row r="270" spans="2:13" ht="18" customHeight="1" x14ac:dyDescent="0.25">
      <c r="B270" s="79" t="s">
        <v>65</v>
      </c>
      <c r="C270" s="40" t="s">
        <v>209</v>
      </c>
      <c r="D270" s="31" t="s">
        <v>77</v>
      </c>
      <c r="E270" s="40" t="s">
        <v>139</v>
      </c>
      <c r="F270" s="79" t="s">
        <v>109</v>
      </c>
      <c r="G270" s="40" t="s">
        <v>108</v>
      </c>
      <c r="H270" s="32">
        <v>5675</v>
      </c>
      <c r="I270" s="32">
        <v>190</v>
      </c>
      <c r="J270" s="53">
        <v>1087272.5896</v>
      </c>
      <c r="K270" s="53">
        <v>4339972.9207</v>
      </c>
      <c r="L270" s="53">
        <v>5427245.5103</v>
      </c>
      <c r="M270" s="33" t="s">
        <v>64</v>
      </c>
    </row>
    <row r="271" spans="2:13" ht="18" customHeight="1" x14ac:dyDescent="0.25">
      <c r="B271" s="80" t="s">
        <v>65</v>
      </c>
      <c r="C271" s="42" t="s">
        <v>209</v>
      </c>
      <c r="D271" s="35" t="s">
        <v>77</v>
      </c>
      <c r="E271" s="42" t="s">
        <v>156</v>
      </c>
      <c r="F271" s="80" t="s">
        <v>157</v>
      </c>
      <c r="G271" s="42" t="s">
        <v>158</v>
      </c>
      <c r="H271" s="36">
        <v>446</v>
      </c>
      <c r="I271" s="36">
        <v>15</v>
      </c>
      <c r="J271" s="55">
        <v>131509.9894</v>
      </c>
      <c r="K271" s="55">
        <v>379927.7397</v>
      </c>
      <c r="L271" s="55">
        <v>511437.7291</v>
      </c>
      <c r="M271" s="38" t="s">
        <v>64</v>
      </c>
    </row>
    <row r="272" spans="2:13" ht="18" customHeight="1" x14ac:dyDescent="0.25">
      <c r="B272" s="79" t="s">
        <v>65</v>
      </c>
      <c r="C272" s="40" t="s">
        <v>209</v>
      </c>
      <c r="D272" s="31" t="s">
        <v>77</v>
      </c>
      <c r="E272" s="40" t="s">
        <v>167</v>
      </c>
      <c r="F272" s="79" t="s">
        <v>168</v>
      </c>
      <c r="G272" s="40" t="s">
        <v>158</v>
      </c>
      <c r="H272" s="32">
        <v>569</v>
      </c>
      <c r="I272" s="32">
        <v>19</v>
      </c>
      <c r="J272" s="53">
        <v>182752.5901</v>
      </c>
      <c r="K272" s="53">
        <v>346726.6002</v>
      </c>
      <c r="L272" s="53">
        <v>529479.1903</v>
      </c>
      <c r="M272" s="33" t="s">
        <v>64</v>
      </c>
    </row>
    <row r="273" spans="2:13" ht="18" customHeight="1" x14ac:dyDescent="0.25">
      <c r="B273" s="80" t="s">
        <v>65</v>
      </c>
      <c r="C273" s="42" t="s">
        <v>209</v>
      </c>
      <c r="D273" s="35" t="s">
        <v>77</v>
      </c>
      <c r="E273" s="42" t="s">
        <v>169</v>
      </c>
      <c r="F273" s="80" t="s">
        <v>170</v>
      </c>
      <c r="G273" s="42" t="s">
        <v>158</v>
      </c>
      <c r="H273" s="36">
        <v>477</v>
      </c>
      <c r="I273" s="36">
        <v>16</v>
      </c>
      <c r="J273" s="55">
        <v>127708.3902</v>
      </c>
      <c r="K273" s="55">
        <v>336621.2603</v>
      </c>
      <c r="L273" s="55">
        <v>464329.6505</v>
      </c>
      <c r="M273" s="38" t="s">
        <v>64</v>
      </c>
    </row>
    <row r="274" spans="2:13" ht="18" customHeight="1" x14ac:dyDescent="0.25">
      <c r="B274" s="79" t="s">
        <v>65</v>
      </c>
      <c r="C274" s="40" t="s">
        <v>209</v>
      </c>
      <c r="D274" s="31" t="s">
        <v>77</v>
      </c>
      <c r="E274" s="40" t="s">
        <v>141</v>
      </c>
      <c r="F274" s="79" t="s">
        <v>111</v>
      </c>
      <c r="G274" s="40" t="s">
        <v>112</v>
      </c>
      <c r="H274" s="32">
        <v>3284</v>
      </c>
      <c r="I274" s="32">
        <v>105</v>
      </c>
      <c r="J274" s="53">
        <v>1563456.9479</v>
      </c>
      <c r="K274" s="53">
        <v>4665373.9358</v>
      </c>
      <c r="L274" s="53">
        <v>6228830.8837</v>
      </c>
      <c r="M274" s="33" t="s">
        <v>64</v>
      </c>
    </row>
    <row r="275" spans="2:13" ht="18" customHeight="1" x14ac:dyDescent="0.25">
      <c r="B275" s="80" t="s">
        <v>65</v>
      </c>
      <c r="C275" s="42" t="s">
        <v>209</v>
      </c>
      <c r="D275" s="35" t="s">
        <v>77</v>
      </c>
      <c r="E275" s="42" t="s">
        <v>150</v>
      </c>
      <c r="F275" s="80" t="s">
        <v>151</v>
      </c>
      <c r="G275" s="42" t="s">
        <v>112</v>
      </c>
      <c r="H275" s="36">
        <v>1152</v>
      </c>
      <c r="I275" s="36">
        <v>35</v>
      </c>
      <c r="J275" s="55">
        <v>818560.2203</v>
      </c>
      <c r="K275" s="55">
        <v>1715948.601</v>
      </c>
      <c r="L275" s="55">
        <v>2534508.8213</v>
      </c>
      <c r="M275" s="38" t="s">
        <v>64</v>
      </c>
    </row>
    <row r="276" spans="2:13" ht="18" customHeight="1" x14ac:dyDescent="0.25">
      <c r="B276" s="79" t="s">
        <v>65</v>
      </c>
      <c r="C276" s="40" t="s">
        <v>209</v>
      </c>
      <c r="D276" s="31" t="s">
        <v>77</v>
      </c>
      <c r="E276" s="40" t="s">
        <v>171</v>
      </c>
      <c r="F276" s="79" t="s">
        <v>172</v>
      </c>
      <c r="G276" s="40" t="s">
        <v>158</v>
      </c>
      <c r="H276" s="32">
        <v>656</v>
      </c>
      <c r="I276" s="32">
        <v>22</v>
      </c>
      <c r="J276" s="53">
        <v>461122.4007</v>
      </c>
      <c r="K276" s="53">
        <v>1411957.6998</v>
      </c>
      <c r="L276" s="53">
        <v>1873080.1005</v>
      </c>
      <c r="M276" s="33" t="s">
        <v>64</v>
      </c>
    </row>
    <row r="277" spans="2:13" ht="18" customHeight="1" x14ac:dyDescent="0.25">
      <c r="B277" s="80" t="s">
        <v>65</v>
      </c>
      <c r="C277" s="42" t="s">
        <v>209</v>
      </c>
      <c r="D277" s="35" t="s">
        <v>77</v>
      </c>
      <c r="E277" s="42" t="s">
        <v>173</v>
      </c>
      <c r="F277" s="80" t="s">
        <v>174</v>
      </c>
      <c r="G277" s="42" t="s">
        <v>175</v>
      </c>
      <c r="H277" s="36">
        <v>60</v>
      </c>
      <c r="I277" s="36">
        <v>2</v>
      </c>
      <c r="J277" s="55">
        <v>28058.1</v>
      </c>
      <c r="K277" s="55">
        <v>71962.13</v>
      </c>
      <c r="L277" s="55">
        <v>100020.23</v>
      </c>
      <c r="M277" s="38" t="s">
        <v>64</v>
      </c>
    </row>
    <row r="278" spans="2:13" ht="18" customHeight="1" x14ac:dyDescent="0.25">
      <c r="B278" s="79" t="s">
        <v>65</v>
      </c>
      <c r="C278" s="40" t="s">
        <v>209</v>
      </c>
      <c r="D278" s="31" t="s">
        <v>77</v>
      </c>
      <c r="E278" s="40" t="s">
        <v>161</v>
      </c>
      <c r="F278" s="79" t="s">
        <v>162</v>
      </c>
      <c r="G278" s="40" t="s">
        <v>158</v>
      </c>
      <c r="H278" s="32">
        <v>637</v>
      </c>
      <c r="I278" s="32">
        <v>21</v>
      </c>
      <c r="J278" s="53">
        <v>133298.2799</v>
      </c>
      <c r="K278" s="53">
        <v>547204.7596</v>
      </c>
      <c r="L278" s="53">
        <v>680503.0395</v>
      </c>
      <c r="M278" s="33" t="s">
        <v>64</v>
      </c>
    </row>
    <row r="279" spans="2:13" ht="18" customHeight="1" x14ac:dyDescent="0.25">
      <c r="B279" s="80" t="s">
        <v>65</v>
      </c>
      <c r="C279" s="42" t="s">
        <v>209</v>
      </c>
      <c r="D279" s="35" t="s">
        <v>77</v>
      </c>
      <c r="E279" s="42" t="s">
        <v>163</v>
      </c>
      <c r="F279" s="80" t="s">
        <v>164</v>
      </c>
      <c r="G279" s="42" t="s">
        <v>158</v>
      </c>
      <c r="H279" s="36">
        <v>659</v>
      </c>
      <c r="I279" s="36">
        <v>22</v>
      </c>
      <c r="J279" s="55">
        <v>204301.13</v>
      </c>
      <c r="K279" s="55">
        <v>597914.8296000001</v>
      </c>
      <c r="L279" s="55">
        <v>802215.9595999999</v>
      </c>
      <c r="M279" s="38" t="s">
        <v>64</v>
      </c>
    </row>
    <row r="280" spans="2:13" ht="18" customHeight="1" x14ac:dyDescent="0.25">
      <c r="B280" s="79" t="s">
        <v>65</v>
      </c>
      <c r="C280" s="40" t="s">
        <v>209</v>
      </c>
      <c r="D280" s="31" t="s">
        <v>77</v>
      </c>
      <c r="E280" s="40" t="s">
        <v>152</v>
      </c>
      <c r="F280" s="79" t="s">
        <v>153</v>
      </c>
      <c r="G280" s="40" t="s">
        <v>108</v>
      </c>
      <c r="H280" s="32">
        <v>1130</v>
      </c>
      <c r="I280" s="32">
        <v>38</v>
      </c>
      <c r="J280" s="53">
        <v>163139.1499</v>
      </c>
      <c r="K280" s="53">
        <v>1064145.5901</v>
      </c>
      <c r="L280" s="53">
        <v>1227284.74</v>
      </c>
      <c r="M280" s="33" t="s">
        <v>64</v>
      </c>
    </row>
    <row r="281" spans="2:13" ht="18" customHeight="1" x14ac:dyDescent="0.25">
      <c r="B281" s="80" t="s">
        <v>65</v>
      </c>
      <c r="C281" s="42" t="s">
        <v>209</v>
      </c>
      <c r="D281" s="35" t="s">
        <v>77</v>
      </c>
      <c r="E281" s="42" t="s">
        <v>148</v>
      </c>
      <c r="F281" s="80" t="s">
        <v>149</v>
      </c>
      <c r="G281" s="42" t="s">
        <v>108</v>
      </c>
      <c r="H281" s="36">
        <v>990</v>
      </c>
      <c r="I281" s="36">
        <v>33</v>
      </c>
      <c r="J281" s="55">
        <v>305274.44</v>
      </c>
      <c r="K281" s="55">
        <v>697228.6696</v>
      </c>
      <c r="L281" s="55">
        <v>1002503.1096</v>
      </c>
      <c r="M281" s="38" t="s">
        <v>64</v>
      </c>
    </row>
    <row r="282" spans="2:13" ht="18" customHeight="1" x14ac:dyDescent="0.25">
      <c r="B282" s="79" t="s">
        <v>65</v>
      </c>
      <c r="C282" s="40" t="s">
        <v>191</v>
      </c>
      <c r="D282" s="31" t="s">
        <v>78</v>
      </c>
      <c r="E282" s="40" t="s">
        <v>146</v>
      </c>
      <c r="F282" s="79" t="s">
        <v>120</v>
      </c>
      <c r="G282" s="40" t="s">
        <v>112</v>
      </c>
      <c r="H282" s="32">
        <v>1650</v>
      </c>
      <c r="I282" s="32">
        <v>25</v>
      </c>
      <c r="J282" s="53">
        <v>1113326.8596</v>
      </c>
      <c r="K282" s="53">
        <v>3682216.0997</v>
      </c>
      <c r="L282" s="53">
        <v>4795542.9593</v>
      </c>
      <c r="M282" s="33" t="s">
        <v>64</v>
      </c>
    </row>
    <row r="283" spans="2:13" ht="18" customHeight="1" x14ac:dyDescent="0.25">
      <c r="B283" s="80" t="s">
        <v>65</v>
      </c>
      <c r="C283" s="42" t="s">
        <v>191</v>
      </c>
      <c r="D283" s="35" t="s">
        <v>78</v>
      </c>
      <c r="E283" s="42" t="s">
        <v>154</v>
      </c>
      <c r="F283" s="80" t="s">
        <v>155</v>
      </c>
      <c r="G283" s="42" t="s">
        <v>112</v>
      </c>
      <c r="H283" s="36">
        <v>700</v>
      </c>
      <c r="I283" s="36">
        <v>10</v>
      </c>
      <c r="J283" s="55">
        <v>146871.0303</v>
      </c>
      <c r="K283" s="55">
        <v>1134075.7597</v>
      </c>
      <c r="L283" s="55">
        <v>1280946.79</v>
      </c>
      <c r="M283" s="38" t="s">
        <v>64</v>
      </c>
    </row>
    <row r="284" spans="2:13" ht="18" customHeight="1" x14ac:dyDescent="0.25">
      <c r="B284" s="79" t="s">
        <v>65</v>
      </c>
      <c r="C284" s="40" t="s">
        <v>191</v>
      </c>
      <c r="D284" s="31" t="s">
        <v>78</v>
      </c>
      <c r="E284" s="40" t="s">
        <v>159</v>
      </c>
      <c r="F284" s="79" t="s">
        <v>160</v>
      </c>
      <c r="G284" s="40" t="s">
        <v>112</v>
      </c>
      <c r="H284" s="32">
        <v>264</v>
      </c>
      <c r="I284" s="32">
        <v>7</v>
      </c>
      <c r="J284" s="53">
        <v>613425.8199999999</v>
      </c>
      <c r="K284" s="53">
        <v>2046893.75</v>
      </c>
      <c r="L284" s="53">
        <v>2660319.57</v>
      </c>
      <c r="M284" s="33" t="s">
        <v>64</v>
      </c>
    </row>
    <row r="285" spans="2:13" ht="18" customHeight="1" x14ac:dyDescent="0.25">
      <c r="B285" s="80" t="s">
        <v>65</v>
      </c>
      <c r="C285" s="42" t="s">
        <v>191</v>
      </c>
      <c r="D285" s="35" t="s">
        <v>78</v>
      </c>
      <c r="E285" s="42" t="s">
        <v>165</v>
      </c>
      <c r="F285" s="80" t="s">
        <v>166</v>
      </c>
      <c r="G285" s="42" t="s">
        <v>112</v>
      </c>
      <c r="H285" s="36">
        <v>772</v>
      </c>
      <c r="I285" s="36">
        <v>6</v>
      </c>
      <c r="J285" s="55">
        <v>56370.32</v>
      </c>
      <c r="K285" s="55">
        <v>415849.33</v>
      </c>
      <c r="L285" s="55">
        <v>472219.65</v>
      </c>
      <c r="M285" s="38" t="s">
        <v>64</v>
      </c>
    </row>
    <row r="286" spans="2:13" ht="18" customHeight="1" x14ac:dyDescent="0.25">
      <c r="B286" s="79" t="s">
        <v>65</v>
      </c>
      <c r="C286" s="40" t="s">
        <v>191</v>
      </c>
      <c r="D286" s="31" t="s">
        <v>78</v>
      </c>
      <c r="E286" s="40" t="s">
        <v>145</v>
      </c>
      <c r="F286" s="79" t="s">
        <v>115</v>
      </c>
      <c r="G286" s="40" t="s">
        <v>112</v>
      </c>
      <c r="H286" s="32">
        <v>1453</v>
      </c>
      <c r="I286" s="32">
        <v>13</v>
      </c>
      <c r="J286" s="53">
        <v>317410.4702</v>
      </c>
      <c r="K286" s="53">
        <v>1182436.1194</v>
      </c>
      <c r="L286" s="53">
        <v>1499846.5896</v>
      </c>
      <c r="M286" s="33" t="s">
        <v>64</v>
      </c>
    </row>
    <row r="287" spans="2:13" ht="18" customHeight="1" x14ac:dyDescent="0.25">
      <c r="B287" s="80" t="s">
        <v>65</v>
      </c>
      <c r="C287" s="42" t="s">
        <v>191</v>
      </c>
      <c r="D287" s="35" t="s">
        <v>78</v>
      </c>
      <c r="E287" s="42" t="s">
        <v>143</v>
      </c>
      <c r="F287" s="80" t="s">
        <v>114</v>
      </c>
      <c r="G287" s="42" t="s">
        <v>112</v>
      </c>
      <c r="H287" s="36">
        <v>1127</v>
      </c>
      <c r="I287" s="36">
        <v>16</v>
      </c>
      <c r="J287" s="55">
        <v>503175.1406</v>
      </c>
      <c r="K287" s="55">
        <v>2089473.8902</v>
      </c>
      <c r="L287" s="55">
        <v>2592649.0308</v>
      </c>
      <c r="M287" s="38" t="s">
        <v>64</v>
      </c>
    </row>
    <row r="288" spans="2:13" ht="18" customHeight="1" x14ac:dyDescent="0.25">
      <c r="B288" s="79" t="s">
        <v>65</v>
      </c>
      <c r="C288" s="40" t="s">
        <v>191</v>
      </c>
      <c r="D288" s="31" t="s">
        <v>78</v>
      </c>
      <c r="E288" s="40" t="s">
        <v>147</v>
      </c>
      <c r="F288" s="79" t="s">
        <v>127</v>
      </c>
      <c r="G288" s="40" t="s">
        <v>108</v>
      </c>
      <c r="H288" s="32">
        <v>2375</v>
      </c>
      <c r="I288" s="32">
        <v>27</v>
      </c>
      <c r="J288" s="53">
        <v>1127187.8504</v>
      </c>
      <c r="K288" s="53">
        <v>4094832.5202</v>
      </c>
      <c r="L288" s="53">
        <v>5222020.3706</v>
      </c>
      <c r="M288" s="33" t="s">
        <v>64</v>
      </c>
    </row>
    <row r="289" spans="2:13" ht="18" customHeight="1" x14ac:dyDescent="0.25">
      <c r="B289" s="80" t="s">
        <v>65</v>
      </c>
      <c r="C289" s="42" t="s">
        <v>191</v>
      </c>
      <c r="D289" s="35" t="s">
        <v>78</v>
      </c>
      <c r="E289" s="42" t="s">
        <v>142</v>
      </c>
      <c r="F289" s="80" t="s">
        <v>113</v>
      </c>
      <c r="G289" s="42" t="s">
        <v>108</v>
      </c>
      <c r="H289" s="36">
        <v>1025</v>
      </c>
      <c r="I289" s="36">
        <v>12</v>
      </c>
      <c r="J289" s="55">
        <v>520948.7436</v>
      </c>
      <c r="K289" s="55">
        <v>2383231.7443</v>
      </c>
      <c r="L289" s="55">
        <v>2904180.4879</v>
      </c>
      <c r="M289" s="38" t="s">
        <v>64</v>
      </c>
    </row>
    <row r="290" spans="2:13" ht="18" customHeight="1" x14ac:dyDescent="0.25">
      <c r="B290" s="79" t="s">
        <v>65</v>
      </c>
      <c r="C290" s="40" t="s">
        <v>191</v>
      </c>
      <c r="D290" s="31" t="s">
        <v>78</v>
      </c>
      <c r="E290" s="40" t="s">
        <v>138</v>
      </c>
      <c r="F290" s="79" t="s">
        <v>107</v>
      </c>
      <c r="G290" s="40" t="s">
        <v>108</v>
      </c>
      <c r="H290" s="32">
        <v>4305</v>
      </c>
      <c r="I290" s="32">
        <v>64</v>
      </c>
      <c r="J290" s="53">
        <v>2524965.83</v>
      </c>
      <c r="K290" s="53">
        <v>10267113.1901</v>
      </c>
      <c r="L290" s="53">
        <v>12792079.0201</v>
      </c>
      <c r="M290" s="33" t="s">
        <v>64</v>
      </c>
    </row>
    <row r="291" spans="2:13" ht="18" customHeight="1" x14ac:dyDescent="0.25">
      <c r="B291" s="80" t="s">
        <v>65</v>
      </c>
      <c r="C291" s="42" t="s">
        <v>191</v>
      </c>
      <c r="D291" s="35" t="s">
        <v>78</v>
      </c>
      <c r="E291" s="42" t="s">
        <v>119</v>
      </c>
      <c r="F291" s="80" t="s">
        <v>118</v>
      </c>
      <c r="G291" s="42" t="s">
        <v>112</v>
      </c>
      <c r="H291" s="36">
        <v>1088</v>
      </c>
      <c r="I291" s="36">
        <v>15</v>
      </c>
      <c r="J291" s="55">
        <v>428441.6965</v>
      </c>
      <c r="K291" s="55">
        <v>2350175.016</v>
      </c>
      <c r="L291" s="55">
        <v>2778616.7125</v>
      </c>
      <c r="M291" s="38" t="s">
        <v>64</v>
      </c>
    </row>
    <row r="292" spans="2:13" ht="18" customHeight="1" x14ac:dyDescent="0.25">
      <c r="B292" s="79" t="s">
        <v>65</v>
      </c>
      <c r="C292" s="40" t="s">
        <v>191</v>
      </c>
      <c r="D292" s="31" t="s">
        <v>78</v>
      </c>
      <c r="E292" s="40" t="s">
        <v>144</v>
      </c>
      <c r="F292" s="79" t="s">
        <v>116</v>
      </c>
      <c r="G292" s="40" t="s">
        <v>112</v>
      </c>
      <c r="H292" s="32">
        <v>1206</v>
      </c>
      <c r="I292" s="32">
        <v>22</v>
      </c>
      <c r="J292" s="53">
        <v>1033428.1001</v>
      </c>
      <c r="K292" s="53">
        <v>4155574.4503</v>
      </c>
      <c r="L292" s="53">
        <v>5189002.5504</v>
      </c>
      <c r="M292" s="33" t="s">
        <v>64</v>
      </c>
    </row>
    <row r="293" spans="2:13" ht="18" customHeight="1" x14ac:dyDescent="0.25">
      <c r="B293" s="80" t="s">
        <v>65</v>
      </c>
      <c r="C293" s="42" t="s">
        <v>191</v>
      </c>
      <c r="D293" s="35" t="s">
        <v>78</v>
      </c>
      <c r="E293" s="42" t="s">
        <v>140</v>
      </c>
      <c r="F293" s="80" t="s">
        <v>110</v>
      </c>
      <c r="G293" s="42" t="s">
        <v>108</v>
      </c>
      <c r="H293" s="36">
        <v>750</v>
      </c>
      <c r="I293" s="36">
        <v>13</v>
      </c>
      <c r="J293" s="55">
        <v>588360.9499</v>
      </c>
      <c r="K293" s="55">
        <v>1906311.2402</v>
      </c>
      <c r="L293" s="55">
        <v>2494672.1901</v>
      </c>
      <c r="M293" s="38" t="s">
        <v>64</v>
      </c>
    </row>
    <row r="294" spans="2:13" ht="18" customHeight="1" x14ac:dyDescent="0.25">
      <c r="B294" s="79" t="s">
        <v>65</v>
      </c>
      <c r="C294" s="40" t="s">
        <v>191</v>
      </c>
      <c r="D294" s="31" t="s">
        <v>78</v>
      </c>
      <c r="E294" s="40" t="s">
        <v>139</v>
      </c>
      <c r="F294" s="79" t="s">
        <v>109</v>
      </c>
      <c r="G294" s="40" t="s">
        <v>108</v>
      </c>
      <c r="H294" s="32">
        <v>2386</v>
      </c>
      <c r="I294" s="32">
        <v>18</v>
      </c>
      <c r="J294" s="53">
        <v>689779.5600000001</v>
      </c>
      <c r="K294" s="53">
        <v>3129463.3001</v>
      </c>
      <c r="L294" s="53">
        <v>3819242.8601</v>
      </c>
      <c r="M294" s="33" t="s">
        <v>64</v>
      </c>
    </row>
    <row r="295" spans="2:13" ht="18" customHeight="1" x14ac:dyDescent="0.25">
      <c r="B295" s="80" t="s">
        <v>65</v>
      </c>
      <c r="C295" s="42" t="s">
        <v>191</v>
      </c>
      <c r="D295" s="35" t="s">
        <v>78</v>
      </c>
      <c r="E295" s="42" t="s">
        <v>156</v>
      </c>
      <c r="F295" s="80" t="s">
        <v>157</v>
      </c>
      <c r="G295" s="42" t="s">
        <v>158</v>
      </c>
      <c r="H295" s="36">
        <v>122</v>
      </c>
      <c r="I295" s="36">
        <v>2</v>
      </c>
      <c r="J295" s="55">
        <v>181349.72</v>
      </c>
      <c r="K295" s="55">
        <v>677050.62</v>
      </c>
      <c r="L295" s="55">
        <v>858400.34</v>
      </c>
      <c r="M295" s="38" t="s">
        <v>64</v>
      </c>
    </row>
    <row r="296" spans="2:13" ht="18" customHeight="1" x14ac:dyDescent="0.25">
      <c r="B296" s="79" t="s">
        <v>65</v>
      </c>
      <c r="C296" s="40" t="s">
        <v>191</v>
      </c>
      <c r="D296" s="31" t="s">
        <v>78</v>
      </c>
      <c r="E296" s="40" t="s">
        <v>167</v>
      </c>
      <c r="F296" s="79" t="s">
        <v>168</v>
      </c>
      <c r="G296" s="40" t="s">
        <v>158</v>
      </c>
      <c r="H296" s="32">
        <v>141</v>
      </c>
      <c r="I296" s="32">
        <v>3</v>
      </c>
      <c r="J296" s="53">
        <v>290874.94</v>
      </c>
      <c r="K296" s="53">
        <v>871734.83</v>
      </c>
      <c r="L296" s="53">
        <v>1162609.77</v>
      </c>
      <c r="M296" s="33" t="s">
        <v>64</v>
      </c>
    </row>
    <row r="297" spans="2:13" ht="18" customHeight="1" x14ac:dyDescent="0.25">
      <c r="B297" s="80" t="s">
        <v>65</v>
      </c>
      <c r="C297" s="42" t="s">
        <v>191</v>
      </c>
      <c r="D297" s="35" t="s">
        <v>78</v>
      </c>
      <c r="E297" s="42" t="s">
        <v>169</v>
      </c>
      <c r="F297" s="80" t="s">
        <v>170</v>
      </c>
      <c r="G297" s="42" t="s">
        <v>158</v>
      </c>
      <c r="H297" s="36">
        <v>210</v>
      </c>
      <c r="I297" s="36">
        <v>4</v>
      </c>
      <c r="J297" s="55">
        <v>271375.48</v>
      </c>
      <c r="K297" s="55">
        <v>603252.3099</v>
      </c>
      <c r="L297" s="55">
        <v>874627.7899</v>
      </c>
      <c r="M297" s="38" t="s">
        <v>64</v>
      </c>
    </row>
    <row r="298" spans="2:13" ht="18" customHeight="1" x14ac:dyDescent="0.25">
      <c r="B298" s="79" t="s">
        <v>65</v>
      </c>
      <c r="C298" s="40" t="s">
        <v>191</v>
      </c>
      <c r="D298" s="31" t="s">
        <v>78</v>
      </c>
      <c r="E298" s="40" t="s">
        <v>141</v>
      </c>
      <c r="F298" s="79" t="s">
        <v>111</v>
      </c>
      <c r="G298" s="40" t="s">
        <v>112</v>
      </c>
      <c r="H298" s="32">
        <v>5937</v>
      </c>
      <c r="I298" s="32">
        <v>66</v>
      </c>
      <c r="J298" s="53">
        <v>3229430.1685</v>
      </c>
      <c r="K298" s="53">
        <v>11645189.9287</v>
      </c>
      <c r="L298" s="53">
        <v>14874620.0972</v>
      </c>
      <c r="M298" s="33" t="s">
        <v>64</v>
      </c>
    </row>
    <row r="299" spans="2:13" ht="18" customHeight="1" x14ac:dyDescent="0.25">
      <c r="B299" s="80" t="s">
        <v>65</v>
      </c>
      <c r="C299" s="42" t="s">
        <v>191</v>
      </c>
      <c r="D299" s="35" t="s">
        <v>78</v>
      </c>
      <c r="E299" s="42" t="s">
        <v>150</v>
      </c>
      <c r="F299" s="80" t="s">
        <v>151</v>
      </c>
      <c r="G299" s="42" t="s">
        <v>112</v>
      </c>
      <c r="H299" s="36">
        <v>1691</v>
      </c>
      <c r="I299" s="36">
        <v>19</v>
      </c>
      <c r="J299" s="55">
        <v>755594.1298</v>
      </c>
      <c r="K299" s="55">
        <v>3013727.18</v>
      </c>
      <c r="L299" s="55">
        <v>3769321.3098</v>
      </c>
      <c r="M299" s="38" t="s">
        <v>64</v>
      </c>
    </row>
    <row r="300" spans="2:13" ht="18" customHeight="1" x14ac:dyDescent="0.25">
      <c r="B300" s="79" t="s">
        <v>65</v>
      </c>
      <c r="C300" s="40" t="s">
        <v>191</v>
      </c>
      <c r="D300" s="31" t="s">
        <v>78</v>
      </c>
      <c r="E300" s="40" t="s">
        <v>171</v>
      </c>
      <c r="F300" s="79" t="s">
        <v>172</v>
      </c>
      <c r="G300" s="40" t="s">
        <v>158</v>
      </c>
      <c r="H300" s="32">
        <v>229</v>
      </c>
      <c r="I300" s="32">
        <v>5</v>
      </c>
      <c r="J300" s="53">
        <v>245181.8</v>
      </c>
      <c r="K300" s="53">
        <v>824459.36</v>
      </c>
      <c r="L300" s="53">
        <v>1069641.16</v>
      </c>
      <c r="M300" s="33" t="s">
        <v>64</v>
      </c>
    </row>
    <row r="301" spans="2:13" ht="18" customHeight="1" x14ac:dyDescent="0.25">
      <c r="B301" s="80" t="s">
        <v>65</v>
      </c>
      <c r="C301" s="42" t="s">
        <v>191</v>
      </c>
      <c r="D301" s="35" t="s">
        <v>78</v>
      </c>
      <c r="E301" s="42" t="s">
        <v>173</v>
      </c>
      <c r="F301" s="80" t="s">
        <v>174</v>
      </c>
      <c r="G301" s="42" t="s">
        <v>175</v>
      </c>
      <c r="H301" s="36">
        <v>24</v>
      </c>
      <c r="I301" s="36">
        <v>1</v>
      </c>
      <c r="J301" s="55">
        <v>0</v>
      </c>
      <c r="K301" s="55">
        <v>41170.33</v>
      </c>
      <c r="L301" s="55">
        <v>41170.33</v>
      </c>
      <c r="M301" s="38" t="s">
        <v>64</v>
      </c>
    </row>
    <row r="302" spans="2:13" ht="18" customHeight="1" x14ac:dyDescent="0.25">
      <c r="B302" s="79" t="s">
        <v>65</v>
      </c>
      <c r="C302" s="40" t="s">
        <v>191</v>
      </c>
      <c r="D302" s="31" t="s">
        <v>78</v>
      </c>
      <c r="E302" s="40" t="s">
        <v>161</v>
      </c>
      <c r="F302" s="79" t="s">
        <v>162</v>
      </c>
      <c r="G302" s="40" t="s">
        <v>158</v>
      </c>
      <c r="H302" s="32">
        <v>692</v>
      </c>
      <c r="I302" s="32">
        <v>6</v>
      </c>
      <c r="J302" s="53">
        <v>150151.1</v>
      </c>
      <c r="K302" s="53">
        <v>359326.72</v>
      </c>
      <c r="L302" s="53">
        <v>509477.82</v>
      </c>
      <c r="M302" s="33" t="s">
        <v>64</v>
      </c>
    </row>
    <row r="303" spans="2:13" ht="18" customHeight="1" x14ac:dyDescent="0.25">
      <c r="B303" s="80" t="s">
        <v>65</v>
      </c>
      <c r="C303" s="42" t="s">
        <v>191</v>
      </c>
      <c r="D303" s="35" t="s">
        <v>78</v>
      </c>
      <c r="E303" s="42" t="s">
        <v>163</v>
      </c>
      <c r="F303" s="80" t="s">
        <v>164</v>
      </c>
      <c r="G303" s="42" t="s">
        <v>158</v>
      </c>
      <c r="H303" s="36">
        <v>183</v>
      </c>
      <c r="I303" s="36">
        <v>3</v>
      </c>
      <c r="J303" s="55">
        <v>116982.42</v>
      </c>
      <c r="K303" s="55">
        <v>307687.66</v>
      </c>
      <c r="L303" s="55">
        <v>424670.08</v>
      </c>
      <c r="M303" s="38" t="s">
        <v>64</v>
      </c>
    </row>
    <row r="304" spans="2:13" ht="18" customHeight="1" x14ac:dyDescent="0.25">
      <c r="B304" s="79" t="s">
        <v>65</v>
      </c>
      <c r="C304" s="40" t="s">
        <v>191</v>
      </c>
      <c r="D304" s="31" t="s">
        <v>78</v>
      </c>
      <c r="E304" s="40" t="s">
        <v>152</v>
      </c>
      <c r="F304" s="79" t="s">
        <v>153</v>
      </c>
      <c r="G304" s="40" t="s">
        <v>108</v>
      </c>
      <c r="H304" s="32">
        <v>620</v>
      </c>
      <c r="I304" s="32">
        <v>14</v>
      </c>
      <c r="J304" s="53">
        <v>742673.17</v>
      </c>
      <c r="K304" s="53">
        <v>3098962.22</v>
      </c>
      <c r="L304" s="53">
        <v>3841635.39</v>
      </c>
      <c r="M304" s="33" t="s">
        <v>64</v>
      </c>
    </row>
    <row r="305" spans="2:13" ht="18" customHeight="1" x14ac:dyDescent="0.25">
      <c r="B305" s="80" t="s">
        <v>65</v>
      </c>
      <c r="C305" s="42" t="s">
        <v>191</v>
      </c>
      <c r="D305" s="35" t="s">
        <v>78</v>
      </c>
      <c r="E305" s="42" t="s">
        <v>148</v>
      </c>
      <c r="F305" s="80" t="s">
        <v>149</v>
      </c>
      <c r="G305" s="42" t="s">
        <v>108</v>
      </c>
      <c r="H305" s="36">
        <v>578</v>
      </c>
      <c r="I305" s="36">
        <v>7</v>
      </c>
      <c r="J305" s="55">
        <v>361333.45</v>
      </c>
      <c r="K305" s="55">
        <v>1565246.6699</v>
      </c>
      <c r="L305" s="55">
        <v>1926580.1199</v>
      </c>
      <c r="M305" s="38" t="s">
        <v>64</v>
      </c>
    </row>
  </sheetData>
  <autoFilter ref="B9:M305"/>
  <mergeCells count="1">
    <mergeCell ref="B7:G7"/>
  </mergeCells>
  <conditionalFormatting sqref="H10:H305">
    <cfRule type="dataBar" priority="1">
      <dataBar>
        <cfvo type="num" val="0"/>
        <cfvo type="max"/>
        <color rgb="FFC1B4EC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Estadística institucional&amp;C&amp;"Calibri,Regular"&amp;8&amp;K5A5765Página &amp;P de &amp;N&amp;R&amp;"Calibri,Regular"&amp;8&amp;K5A5765Selección a08650cd76fc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H10:H305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5A5765"/>
    <pageSetUpPr fitToPage="1"/>
  </sheetPr>
  <dimension ref="A1:D61"/>
  <sheetViews>
    <sheetView showGridLines="0" zoomScale="95" zoomScaleNormal="95" workbookViewId="0"/>
  </sheetViews>
  <sheetFormatPr defaultRowHeight="15"/>
  <cols>
    <col min="1" max="1" width="3.140625" customWidth="1"/>
    <col min="2" max="2" width="34.7109375" customWidth="1"/>
    <col min="3" max="3" width="96.7109375" customWidth="1"/>
    <col min="4" max="4" width="3.140625" customWidth="1"/>
  </cols>
  <sheetData>
    <row r="1" spans="1:4" ht="12" customHeight="1">
      <c r="A1" s="1"/>
      <c r="B1" s="1"/>
      <c r="C1" s="1"/>
      <c r="D1" s="1"/>
    </row>
    <row r="2" spans="1:4" ht="40" customHeight="1">
      <c r="A2" s="1"/>
      <c r="B2" s="25" t="s">
        <v>210</v>
      </c>
      <c r="C2" s="1"/>
      <c r="D2" s="1"/>
    </row>
    <row r="3" spans="1:4" ht="22" customHeight="1">
      <c r="A3" s="1"/>
      <c r="B3" s="26" t="s">
        <v>211</v>
      </c>
      <c r="C3" s="1"/>
      <c r="D3" s="1"/>
    </row>
    <row r="4" spans="1:4" ht="14" customHeight="1">
      <c r="A4" s="1"/>
      <c r="B4" s="1"/>
      <c r="C4" s="1"/>
      <c r="D4" s="1"/>
    </row>
    <row r="5" spans="1:4" ht="5" customHeight="1">
      <c r="A5" s="7"/>
      <c r="B5" s="7"/>
      <c r="C5" s="7"/>
      <c r="D5" s="7"/>
    </row>
    <row r="7" spans="1:4" ht="27" customHeight="1">
      <c r="B7" s="8" t="s">
        <v>212</v>
      </c>
      <c r="C7" s="9"/>
    </row>
    <row r="8" spans="1:4" ht="34" customHeight="1">
      <c r="B8" s="29" t="s">
        <v>213</v>
      </c>
      <c r="C8" s="39" t="s">
        <v>214</v>
      </c>
    </row>
    <row r="9" spans="1:4" ht="46" customHeight="1">
      <c r="B9" s="31" t="s">
        <v>215</v>
      </c>
      <c r="C9" s="79" t="s">
        <v>216</v>
      </c>
    </row>
    <row r="10" spans="1:4" ht="46" customHeight="1">
      <c r="B10" s="35" t="s">
        <v>217</v>
      </c>
      <c r="C10" s="80" t="s">
        <v>218</v>
      </c>
    </row>
    <row r="11" spans="1:4" ht="46" customHeight="1">
      <c r="B11" s="31" t="s">
        <v>219</v>
      </c>
      <c r="C11" s="79" t="s">
        <v>220</v>
      </c>
    </row>
    <row r="12" spans="1:4" ht="46" customHeight="1">
      <c r="B12" s="35" t="s">
        <v>221</v>
      </c>
      <c r="C12" s="80" t="s">
        <v>222</v>
      </c>
    </row>
    <row r="13" spans="1:4" ht="46" customHeight="1">
      <c r="B13" s="31" t="s">
        <v>223</v>
      </c>
      <c r="C13" s="79" t="s">
        <v>224</v>
      </c>
    </row>
    <row r="15" spans="1:4" ht="27" customHeight="1">
      <c r="B15" s="8" t="s">
        <v>225</v>
      </c>
      <c r="C15" s="9"/>
    </row>
    <row r="16" spans="1:4" ht="34" customHeight="1">
      <c r="B16" s="29" t="s">
        <v>226</v>
      </c>
      <c r="C16" s="39" t="s">
        <v>227</v>
      </c>
    </row>
    <row r="17" spans="2:3" ht="34" customHeight="1">
      <c r="B17" s="31" t="s">
        <v>228</v>
      </c>
      <c r="C17" s="79" t="s">
        <v>229</v>
      </c>
    </row>
    <row r="18" spans="2:3" ht="34" customHeight="1">
      <c r="B18" s="35" t="s">
        <v>230</v>
      </c>
      <c r="C18" s="80" t="s">
        <v>231</v>
      </c>
    </row>
    <row r="19" spans="2:3" ht="34" customHeight="1">
      <c r="B19" s="31" t="s">
        <v>11</v>
      </c>
      <c r="C19" s="79" t="s">
        <v>232</v>
      </c>
    </row>
    <row r="20" spans="2:3" ht="34" customHeight="1">
      <c r="B20" s="35" t="s">
        <v>13</v>
      </c>
      <c r="C20" s="80" t="s">
        <v>233</v>
      </c>
    </row>
    <row r="21" spans="2:3" ht="34" customHeight="1">
      <c r="B21" s="31" t="s">
        <v>60</v>
      </c>
      <c r="C21" s="79" t="s">
        <v>234</v>
      </c>
    </row>
    <row r="22" spans="2:3" ht="34" customHeight="1">
      <c r="B22" s="35" t="s">
        <v>61</v>
      </c>
      <c r="C22" s="80" t="s">
        <v>235</v>
      </c>
    </row>
    <row r="23" spans="2:3" ht="34" customHeight="1">
      <c r="B23" s="31" t="s">
        <v>62</v>
      </c>
      <c r="C23" s="79" t="s">
        <v>236</v>
      </c>
    </row>
    <row r="24" spans="2:3" ht="34" customHeight="1">
      <c r="B24" s="35" t="s">
        <v>199</v>
      </c>
      <c r="C24" s="80" t="s">
        <v>237</v>
      </c>
    </row>
    <row r="25" spans="2:3" ht="34" customHeight="1">
      <c r="B25" s="31" t="s">
        <v>238</v>
      </c>
      <c r="C25" s="79" t="s">
        <v>239</v>
      </c>
    </row>
    <row r="27" spans="2:3" ht="27" customHeight="1">
      <c r="B27" s="8" t="s">
        <v>240</v>
      </c>
      <c r="C27" s="9"/>
    </row>
    <row r="28" spans="2:3" ht="34" customHeight="1">
      <c r="B28" s="29" t="s">
        <v>241</v>
      </c>
      <c r="C28" s="39" t="s">
        <v>242</v>
      </c>
    </row>
    <row r="29" spans="2:3" ht="20" customHeight="1">
      <c r="B29" s="31" t="s">
        <v>243</v>
      </c>
      <c r="C29" s="79" t="s">
        <v>244</v>
      </c>
    </row>
    <row r="30" spans="2:3" ht="20" customHeight="1">
      <c r="B30" s="35" t="s">
        <v>245</v>
      </c>
      <c r="C30" s="80" t="s">
        <v>244</v>
      </c>
    </row>
    <row r="31" spans="2:3" ht="20" customHeight="1">
      <c r="B31" s="31" t="s">
        <v>246</v>
      </c>
      <c r="C31" s="79" t="s">
        <v>244</v>
      </c>
    </row>
    <row r="32" spans="2:3" ht="20" customHeight="1">
      <c r="B32" s="35" t="s">
        <v>247</v>
      </c>
      <c r="C32" s="80" t="s">
        <v>244</v>
      </c>
    </row>
    <row r="33" spans="2:3" ht="20" customHeight="1">
      <c r="B33" s="31" t="s">
        <v>248</v>
      </c>
      <c r="C33" s="79" t="s">
        <v>244</v>
      </c>
    </row>
    <row r="34" spans="2:3" ht="20" customHeight="1">
      <c r="B34" s="35" t="s">
        <v>249</v>
      </c>
      <c r="C34" s="80" t="s">
        <v>244</v>
      </c>
    </row>
    <row r="35" spans="2:3" ht="20" customHeight="1">
      <c r="B35" s="31" t="s">
        <v>250</v>
      </c>
      <c r="C35" s="79" t="s">
        <v>99</v>
      </c>
    </row>
    <row r="36" spans="2:3" ht="20" customHeight="1">
      <c r="B36" s="35" t="s">
        <v>251</v>
      </c>
      <c r="C36" s="80" t="s">
        <v>252</v>
      </c>
    </row>
    <row r="38" spans="2:3" ht="27" customHeight="1">
      <c r="B38" s="8" t="s">
        <v>253</v>
      </c>
      <c r="C38" s="9"/>
    </row>
    <row r="39" spans="2:3" ht="34" customHeight="1">
      <c r="B39" s="29" t="s">
        <v>254</v>
      </c>
      <c r="C39" s="39" t="s">
        <v>255</v>
      </c>
    </row>
    <row r="40" spans="2:3" ht="22" customHeight="1">
      <c r="B40" s="31" t="s">
        <v>32</v>
      </c>
      <c r="C40" s="79" t="s">
        <v>256</v>
      </c>
    </row>
    <row r="41" spans="2:3" ht="22" customHeight="1">
      <c r="B41" s="35" t="s">
        <v>257</v>
      </c>
      <c r="C41" s="80" t="s">
        <v>37</v>
      </c>
    </row>
    <row r="42" spans="2:3" ht="22" customHeight="1">
      <c r="B42" s="31" t="s">
        <v>34</v>
      </c>
      <c r="C42" s="79" t="s">
        <v>35</v>
      </c>
    </row>
    <row r="43" spans="2:3" ht="22" customHeight="1">
      <c r="B43" s="35" t="s">
        <v>258</v>
      </c>
      <c r="C43" s="80" t="s">
        <v>259</v>
      </c>
    </row>
    <row r="44" spans="2:3" ht="22" customHeight="1">
      <c r="B44" s="31" t="s">
        <v>260</v>
      </c>
      <c r="C44" s="79" t="s">
        <v>261</v>
      </c>
    </row>
    <row r="45" spans="2:3" ht="22" customHeight="1">
      <c r="B45" s="35" t="s">
        <v>262</v>
      </c>
      <c r="C45" s="80" t="s">
        <v>263</v>
      </c>
    </row>
    <row r="46" spans="2:3" ht="45" customHeight="1">
      <c r="B46" s="31" t="s">
        <v>264</v>
      </c>
      <c r="C46" s="79" t="s">
        <v>265</v>
      </c>
    </row>
    <row r="48" spans="2:3" ht="27" customHeight="1">
      <c r="B48" s="8" t="s">
        <v>266</v>
      </c>
      <c r="C48" s="9"/>
    </row>
    <row r="49" spans="2:3" ht="34" customHeight="1">
      <c r="B49" s="29" t="s">
        <v>267</v>
      </c>
      <c r="C49" s="39" t="s">
        <v>67</v>
      </c>
    </row>
    <row r="50" spans="2:3" ht="19" customHeight="1">
      <c r="B50" s="31" t="s">
        <v>186</v>
      </c>
      <c r="C50" s="79" t="s">
        <v>73</v>
      </c>
    </row>
    <row r="51" spans="2:3" ht="19" customHeight="1">
      <c r="B51" s="35" t="s">
        <v>189</v>
      </c>
      <c r="C51" s="80" t="s">
        <v>76</v>
      </c>
    </row>
    <row r="52" spans="2:3" ht="19" customHeight="1">
      <c r="B52" s="31" t="s">
        <v>182</v>
      </c>
      <c r="C52" s="79" t="s">
        <v>69</v>
      </c>
    </row>
    <row r="53" spans="2:3" ht="19" customHeight="1">
      <c r="B53" s="35" t="s">
        <v>183</v>
      </c>
      <c r="C53" s="80" t="s">
        <v>70</v>
      </c>
    </row>
    <row r="54" spans="2:3" ht="19" customHeight="1">
      <c r="B54" s="31" t="s">
        <v>185</v>
      </c>
      <c r="C54" s="79" t="s">
        <v>72</v>
      </c>
    </row>
    <row r="55" spans="2:3" ht="19" customHeight="1">
      <c r="B55" s="35" t="s">
        <v>184</v>
      </c>
      <c r="C55" s="80" t="s">
        <v>71</v>
      </c>
    </row>
    <row r="56" spans="2:3" ht="19" customHeight="1">
      <c r="B56" s="31" t="s">
        <v>188</v>
      </c>
      <c r="C56" s="79" t="s">
        <v>75</v>
      </c>
    </row>
    <row r="57" spans="2:3" ht="19" customHeight="1">
      <c r="B57" s="35" t="s">
        <v>192</v>
      </c>
      <c r="C57" s="80" t="s">
        <v>79</v>
      </c>
    </row>
    <row r="58" spans="2:3" ht="19" customHeight="1">
      <c r="B58" s="31" t="s">
        <v>193</v>
      </c>
      <c r="C58" s="79" t="s">
        <v>80</v>
      </c>
    </row>
    <row r="59" spans="2:3" ht="19" customHeight="1">
      <c r="B59" s="35" t="s">
        <v>187</v>
      </c>
      <c r="C59" s="80" t="s">
        <v>74</v>
      </c>
    </row>
    <row r="60" spans="2:3" ht="19" customHeight="1">
      <c r="B60" s="31" t="s">
        <v>190</v>
      </c>
      <c r="C60" s="79" t="s">
        <v>77</v>
      </c>
    </row>
    <row r="61" spans="2:3" ht="19" customHeight="1">
      <c r="B61" s="35" t="s">
        <v>191</v>
      </c>
      <c r="C61" s="80" t="s">
        <v>78</v>
      </c>
    </row>
  </sheetData>
  <printOptions horizontalCentered="1"/>
  <pageMargins left="0.35" right="0.35" top="0.6" bottom="0.55" header="0.3" footer="0.3"/>
  <pageSetup paperSize="9" fitToHeight="0" orientation="portrait"/>
  <headerFooter>
    <oddHeader>&amp;L&amp;"Century Gothic,Bold"&amp;9&amp;K512F8DMinisterio de Trabajo y Desarrollo Humano&amp;R&amp;"Calibri,Regular"&amp;9&amp;K5A5765Septiembre 2026</oddHeader>
    <oddFooter>&amp;L&amp;"Calibri,Regular"&amp;8&amp;K5A5765InfoReportes · Estadística institucional&amp;C&amp;"Calibri,Regular"&amp;8&amp;K5A5765Página &amp;P de &amp;N&amp;R&amp;"Calibri,Regular"&amp;8&amp;K5A5765Selección a08650cd76fc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Portada</vt:lpstr>
      <vt:lpstr>Resumen</vt:lpstr>
      <vt:lpstr>Bonos y pensiones</vt:lpstr>
      <vt:lpstr>Protección integral</vt:lpstr>
      <vt:lpstr>Territorio</vt:lpstr>
      <vt:lpstr>Detalle</vt:lpstr>
      <vt:lpstr>Notas</vt:lpstr>
      <vt:lpstr>Portada!Print_Area</vt:lpstr>
      <vt:lpstr>Resumen!Print_Area</vt:lpstr>
      <vt:lpstr>Detalle!Print_Titles</vt:lpstr>
    </vt:vector>
  </TitlesOfParts>
  <Manager>InfoReportes</Manager>
  <Company>Ministerio de Trabajo y Desarrollo Humano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Boletín de protección social</dc:title>
  <dc:subject>Estadísticas agregadas de protección social · Septiembre 2026</dc:subject>
  <dc:creator>Ministerio de Trabajo y Desarrollo Humano</dc:creator>
  <cp:keywords>MTDH, protección social, bonos, pensiones, servicios, Ecuador</cp:keywords>
  <dc:description>Selección a08650cd76fc. Fuente: Acumulado VIS-VIE.xlsx.</dc:description>
  <cp:lastModifiedBy>Ministerio de Trabajo y Desarrollo Humano</cp:lastModifiedBy>
  <dcterms:created xsi:type="dcterms:W3CDTF">2026-10-22T21:44:18Z</dcterms:created>
  <dcterms:modified xsi:type="dcterms:W3CDTF">2026-10-22T21:44:18Z</dcterms:modified>
  <cp:category>Estadística institucional</cp:category>
</cp:coreProperties>
</file>