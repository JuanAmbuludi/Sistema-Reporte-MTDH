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Alertas" sheetId="2" r:id="rId2"/>
    <sheet name="Kits" sheetId="3" r:id="rId3"/>
    <sheet name="Bonos" sheetId="4" r:id="rId4"/>
    <sheet name="Ficha técnica" sheetId="5" r:id="rId5"/>
  </sheets>
  <definedNames>
    <definedName name="_xlnm._FilterDatabase" localSheetId="1" hidden="1">Alertas!$B$8:$K$16</definedName>
    <definedName name="_xlnm._FilterDatabase" localSheetId="2" hidden="1">Kits!$B$8:$E$15</definedName>
    <definedName name="_xlnm.Print_Area" localSheetId="0">Resumen!$A$1:$N$44</definedName>
  </definedNames>
  <calcPr calcId="124519" fullCalcOnLoad="1"/>
</workbook>
</file>

<file path=xl/sharedStrings.xml><?xml version="1.0" encoding="utf-8"?>
<sst xmlns="http://schemas.openxmlformats.org/spreadsheetml/2006/main" count="227" uniqueCount="131">
  <si>
    <t>Seguimiento y respuesta MTDH</t>
  </si>
  <si>
    <t>29/09 al 26/10/2026 · Nacional · Alertas, kits y bono de contingencia</t>
  </si>
  <si>
    <t>Alertas al 26/10/2026</t>
  </si>
  <si>
    <t>Cifras clave</t>
  </si>
  <si>
    <t>29/09 al 26/10/2026</t>
  </si>
  <si>
    <t>Alertas de servicios MTDH</t>
  </si>
  <si>
    <t>Desde el 29/09/2026</t>
  </si>
  <si>
    <t>Alertas abiertas</t>
  </si>
  <si>
    <t>Pendientes o en seguimiento</t>
  </si>
  <si>
    <t>UA con afectación documentada</t>
  </si>
  <si>
    <t>Códigos de unidad distintos</t>
  </si>
  <si>
    <t>Kits entregados</t>
  </si>
  <si>
    <t>Fin de semana 24–25/10</t>
  </si>
  <si>
    <t>Alertas por provincia</t>
  </si>
  <si>
    <t>Provincia</t>
  </si>
  <si>
    <t>Alertas</t>
  </si>
  <si>
    <t>Guayas</t>
  </si>
  <si>
    <t>El Oro</t>
  </si>
  <si>
    <t>Manabí</t>
  </si>
  <si>
    <t>Total de la selección</t>
  </si>
  <si>
    <t>Aspectos destacados</t>
  </si>
  <si>
    <t>8 alertas con afectación a servicios MTDH desde el 29/09 en 3 provincias.</t>
  </si>
  <si>
    <t>802 kits documentados en el fin de semana del 24–25/10.</t>
  </si>
  <si>
    <t>Afectaciones a servicios MTDH</t>
  </si>
  <si>
    <t>Detalle desde el 29/09</t>
  </si>
  <si>
    <t>Alerta</t>
  </si>
  <si>
    <t>Fecha de registro</t>
  </si>
  <si>
    <t>Cantón</t>
  </si>
  <si>
    <t>Estado</t>
  </si>
  <si>
    <t>Código UA</t>
  </si>
  <si>
    <t>Unidad de atención</t>
  </si>
  <si>
    <t>Servicio</t>
  </si>
  <si>
    <t>Afectación al servicio</t>
  </si>
  <si>
    <t>Afectados (campo fuente)</t>
  </si>
  <si>
    <t>ALT-2026-000325</t>
  </si>
  <si>
    <t>2026-10-20</t>
  </si>
  <si>
    <t>Milagro</t>
  </si>
  <si>
    <t>Pendiente</t>
  </si>
  <si>
    <t>62210</t>
  </si>
  <si>
    <t>GOTITA DEL AMOR</t>
  </si>
  <si>
    <t>Desarrollo Infantil</t>
  </si>
  <si>
    <t>Ingreso de agua en la unidad; sin energía ni agua</t>
  </si>
  <si>
    <t>ALT-2026-000323</t>
  </si>
  <si>
    <t>14294</t>
  </si>
  <si>
    <t>MIS PEQUEÑOS ANGELITOS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</si>
  <si>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</si>
  <si>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</si>
  <si>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</si>
  <si>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</si>
  <si>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</si>
  <si>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</si>
  <si>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</si>
  <si>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</si>
  <si>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</si>
  <si>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</si>
  <si>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El Guabo</t>
  </si>
  <si>
    <t>En seguimiento</t>
  </si>
  <si>
    <t>60221</t>
  </si>
  <si>
    <t>CENTRO DE DESARROLLO INFANTIL ESTRELLITA DE MAR</t>
  </si>
  <si>
    <t>Ingreso de agua; cambio temporal a modalidad virtual</t>
  </si>
  <si>
    <t>ALT-2026-000318</t>
  </si>
  <si>
    <t>60220</t>
  </si>
  <si>
    <t>CENTRO DE DESARROLLO INFANTIL SUPER NIÑO</t>
  </si>
  <si>
    <t>ALT-2026-000310</t>
  </si>
  <si>
    <t>2026-10-16</t>
  </si>
  <si>
    <t>Flavio Alfaro</t>
  </si>
  <si>
    <t>56744</t>
  </si>
  <si>
    <t>CNH ESTRELLITAS DEL AMANECER</t>
  </si>
  <si>
    <t>Creciendo con Nuestros Hijos (CNH)</t>
  </si>
  <si>
    <t>Acceso impedido para atención presencial; contacto telefónico temporal</t>
  </si>
  <si>
    <t>ALT-2026-000309</t>
  </si>
  <si>
    <t>56204</t>
  </si>
  <si>
    <t>CORREO INFANTIL</t>
  </si>
  <si>
    <t>Solo se incluyen alertas con afectación documentada a instalaciones, acceso, continuidad o modalidad de atención de los servicios MTDH, registradas desde el 29 de septiembre de 2026. Se excluyen daños externos o a viviendas de familias usuarias sin impacto documentado en el servicio. Un código UA por sí solo no acredita afectación. La fecha corresponde al registro de la alerta; una alerta no equivale necesariamente a un evento único. El campo Afectados mezcla personas, familias y usuarios, por lo que no se presenta un total de personas únicas. La base no certifica atribución causal a ENOS.</t>
  </si>
  <si>
    <t>Entregas de fin de semana</t>
  </si>
  <si>
    <t>Fecha</t>
  </si>
  <si>
    <t>Kits</t>
  </si>
  <si>
    <t>2026-10-24</t>
  </si>
  <si>
    <t>Portoviejo</t>
  </si>
  <si>
    <t>Esmeraldas</t>
  </si>
  <si>
    <t>Palestina</t>
  </si>
  <si>
    <t>Azuay</t>
  </si>
  <si>
    <t>Cuenca</t>
  </si>
  <si>
    <t>2026-10-25</t>
  </si>
  <si>
    <t>Entregas documentadas del 24 y 25 de octubre de 2026, corte 25/10 a las 19:00. No representan el acumulado desde el 29/09.</t>
  </si>
  <si>
    <t>Bono de contingencia</t>
  </si>
  <si>
    <t>Planificación nacional ENOS 2026–2027</t>
  </si>
  <si>
    <t>Indicador</t>
  </si>
  <si>
    <t>Cantidad</t>
  </si>
  <si>
    <t>Monto (USD)</t>
  </si>
  <si>
    <t>Personas potenciales</t>
  </si>
  <si>
    <t>—</t>
  </si>
  <si>
    <t>Núcleos familiares</t>
  </si>
  <si>
    <t>Inversión estimada</t>
  </si>
  <si>
    <t>Planificación nacional, no ejecución. El filtro territorial se aplica a las tablas de inundaciones.</t>
  </si>
  <si>
    <t>Gestionado por inundaciones</t>
  </si>
  <si>
    <t>Evento</t>
  </si>
  <si>
    <t>Personas</t>
  </si>
  <si>
    <t>Inundación</t>
  </si>
  <si>
    <t>En articulación por inundaciones</t>
  </si>
  <si>
    <t>Imbabura</t>
  </si>
  <si>
    <t>Los Ríos</t>
  </si>
  <si>
    <t>La ayuda memoria no identifica pagos exclusivamente atribuibles a ENOS ni fechas individuales para recortar desde el 29/09. Se muestran únicamente las filas de inundación como referencia: pagos gestionados desde el 29/08 y casos en articulación al 23/10. Gestionado no acredita cobro; articulación no equivale a pago. Las proyecciones corresponden a planificación nacional 2026–2027.</t>
  </si>
  <si>
    <t>Ficha técnica</t>
  </si>
  <si>
    <t>Identificación</t>
  </si>
  <si>
    <t>Elemento</t>
  </si>
  <si>
    <t>Descripción</t>
  </si>
  <si>
    <t>Periodo de alertas</t>
  </si>
  <si>
    <t>Territorio</t>
  </si>
  <si>
    <t>Nacional</t>
  </si>
  <si>
    <t>24–25/10/2026; corte 25/10 19:00</t>
  </si>
  <si>
    <t>Bonos</t>
  </si>
  <si>
    <t>Corte 23/10/2026; pagos gestionados desde el 29/08</t>
  </si>
  <si>
    <t>Indicadores</t>
  </si>
  <si>
    <t>Definición</t>
  </si>
  <si>
    <t>Control de calidad</t>
  </si>
  <si>
    <t>Se revisaron Detalle y Acciones realizadas de cada alerta. Los casos sin evidencia de afectación al servicio no se incorporan a indicadores ni exportables.</t>
  </si>
  <si>
    <t>Fuentes oficiales</t>
  </si>
  <si>
    <t>Fuente 1</t>
  </si>
  <si>
    <t>05-analisis-alertas-2026-10-26-2-.xlsx</t>
  </si>
  <si>
    <t>Fuente 2</t>
  </si>
  <si>
    <t>06-Bono-de-Contingencia-Feno-meno-del-Nin-o.docx</t>
  </si>
  <si>
    <t>Fuente 3</t>
  </si>
  <si>
    <t>enos_kits_2026-10-25.csv</t>
  </si>
  <si>
    <t>Fuente 4</t>
  </si>
  <si>
    <t>enos_revision_servicios_2026-10-26.csv</t>
  </si>
  <si>
    <t>Contenido del libro</t>
  </si>
  <si>
    <t>Resumen</t>
  </si>
  <si>
    <t>Detalle sin domicilios ni nombres personales</t>
  </si>
  <si>
    <t>Entregas documentadas</t>
  </si>
  <si>
    <t>Planificación y referencia de inundaciones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</si>
</sst>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#,##0.00"/>
  </numFmts>
  <fonts count="20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sz val="10.5"/>
      <color rgb="FF6E6880"/>
      <name val="Calibri"/>
      <family val="2"/>
      <scheme val="minor"/>
    </font>
    <font>
      <sz val="9.5"/>
      <color rgb="FF3D216D"/>
      <name val="Calibri"/>
      <family val="2"/>
      <scheme val="minor"/>
    </font>
    <font>
      <i/>
      <sz val="10.5"/>
      <color rgb="FF8A80A0"/>
      <name val="Calibri"/>
      <family val="2"/>
      <scheme val="minor"/>
    </font>
    <font>
      <b/>
      <sz val="10"/>
      <color rgb="FF2B164F"/>
      <name val="Calibri"/>
      <family val="2"/>
      <scheme val="minor"/>
    </font>
    <font>
      <sz val="10"/>
      <color rgb="FF5A5765"/>
      <name val="Calibri"/>
      <family val="2"/>
      <scheme val="minor"/>
    </font>
    <font>
      <b/>
      <sz val="10.5"/>
      <color rgb="FF512F8D"/>
      <name val="Century Gothic"/>
      <family val="2"/>
    </font>
  </fonts>
  <fills count="8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5F3"/>
        <bgColor indexed="64"/>
      </patternFill>
    </fill>
    <fill>
      <patternFill patternType="solid">
        <fgColor rgb="FFF1EDFA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  <border>
      <left style="thick">
        <color rgb="FF512F8D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0" fontId="9" fillId="4" borderId="0" xfId="0" applyFont="1" applyFill="1" applyAlignment="1">
      <alignment vertical="top" indent="1" wrapText="1"/>
    </xf>
    <xf numFmtId="0" fontId="10" fillId="2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right" vertical="center" wrapText="1"/>
    </xf>
    <xf numFmtId="0" fontId="11" fillId="5" borderId="7" xfId="0" applyFont="1" applyFill="1" applyBorder="1" applyAlignment="1">
      <alignment horizontal="left" vertical="center" indent="1" wrapText="1"/>
    </xf>
    <xf numFmtId="164" fontId="12" fillId="5" borderId="7" xfId="0" applyNumberFormat="1" applyFont="1" applyFill="1" applyBorder="1" applyAlignment="1">
      <alignment horizontal="right" vertical="center"/>
    </xf>
    <xf numFmtId="0" fontId="11" fillId="4" borderId="7" xfId="0" applyFont="1" applyFill="1" applyBorder="1" applyAlignment="1">
      <alignment horizontal="left" vertical="center" indent="1" wrapText="1"/>
    </xf>
    <xf numFmtId="164" fontId="12" fillId="4" borderId="7" xfId="0" applyNumberFormat="1" applyFont="1" applyFill="1" applyBorder="1" applyAlignment="1">
      <alignment horizontal="right" vertical="center"/>
    </xf>
    <xf numFmtId="0" fontId="11" fillId="6" borderId="8" xfId="0" applyFont="1" applyFill="1" applyBorder="1" applyAlignment="1">
      <alignment horizontal="left" vertical="center" indent="1"/>
    </xf>
    <xf numFmtId="164" fontId="13" fillId="6" borderId="9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left" vertical="center" indent="1" wrapText="1"/>
    </xf>
    <xf numFmtId="0" fontId="1" fillId="5" borderId="7" xfId="0" applyFont="1" applyFill="1" applyBorder="1" applyAlignment="1">
      <alignment horizontal="left" vertical="center" indent="1" wrapText="1"/>
    </xf>
    <xf numFmtId="0" fontId="14" fillId="5" borderId="7" xfId="0" applyFont="1" applyFill="1" applyBorder="1" applyAlignment="1">
      <alignment horizontal="left" vertical="center" indent="1"/>
    </xf>
    <xf numFmtId="0" fontId="1" fillId="4" borderId="7" xfId="0" applyFont="1" applyFill="1" applyBorder="1" applyAlignment="1">
      <alignment horizontal="left" vertical="center" indent="1" wrapText="1"/>
    </xf>
    <xf numFmtId="0" fontId="14" fillId="4" borderId="7" xfId="0" applyFont="1" applyFill="1" applyBorder="1" applyAlignment="1">
      <alignment horizontal="left" vertical="center" indent="1"/>
    </xf>
    <xf numFmtId="0" fontId="15" fillId="7" borderId="10" xfId="0" applyFont="1" applyFill="1" applyBorder="1" applyAlignment="1">
      <alignment horizontal="left" vertical="center" indent="1" wrapText="1"/>
    </xf>
    <xf numFmtId="0" fontId="1" fillId="6" borderId="8" xfId="0" applyFont="1" applyFill="1" applyBorder="1" applyAlignment="1">
      <alignment vertical="center"/>
    </xf>
    <xf numFmtId="0" fontId="16" fillId="5" borderId="7" xfId="0" applyFont="1" applyFill="1" applyBorder="1" applyAlignment="1">
      <alignment horizontal="right" vertical="center"/>
    </xf>
    <xf numFmtId="0" fontId="16" fillId="4" borderId="7" xfId="0" applyFont="1" applyFill="1" applyBorder="1" applyAlignment="1">
      <alignment horizontal="right" vertical="center"/>
    </xf>
    <xf numFmtId="165" fontId="12" fillId="5" borderId="7" xfId="0" applyNumberFormat="1" applyFont="1" applyFill="1" applyBorder="1" applyAlignment="1">
      <alignment horizontal="right" vertical="center"/>
    </xf>
    <xf numFmtId="165" fontId="12" fillId="4" borderId="7" xfId="0" applyNumberFormat="1" applyFont="1" applyFill="1" applyBorder="1" applyAlignment="1">
      <alignment horizontal="right" vertical="center"/>
    </xf>
    <xf numFmtId="165" fontId="13" fillId="6" borderId="9" xfId="0" applyNumberFormat="1" applyFont="1" applyFill="1" applyBorder="1" applyAlignment="1">
      <alignment horizontal="right" vertical="center"/>
    </xf>
    <xf numFmtId="0" fontId="17" fillId="0" borderId="7" xfId="0" applyFont="1" applyBorder="1" applyAlignment="1">
      <alignment horizontal="left" vertical="center" indent="1" wrapText="1"/>
    </xf>
    <xf numFmtId="0" fontId="18" fillId="0" borderId="7" xfId="0" applyFont="1" applyBorder="1" applyAlignment="1">
      <alignment vertical="center" wrapText="1"/>
    </xf>
    <xf numFmtId="0" fontId="19" fillId="0" borderId="7" xfId="0" applyFont="1" applyBorder="1" applyAlignment="1">
      <alignment horizontal="left" vertical="center" indent="1"/>
    </xf>
    <xf numFmtId="0" fontId="18" fillId="0" borderId="7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provincia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provincia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Resumen!$B$16:$B$18</c:f>
              <c:strCache>
                <c:ptCount val="3"/>
                <c:pt idx="0">
                  <c:v>Guayas</c:v>
                </c:pt>
                <c:pt idx="1">
                  <c:v>El Oro</c:v>
                </c:pt>
                <c:pt idx="2">
                  <c:v>Manabí</c:v>
                </c:pt>
              </c:strCache>
            </c:strRef>
          </c:cat>
          <c:val>
            <c:numRef>
              <c:f>Resumen!$J$16:$J$18</c:f>
              <c:numCache>
                <c:formatCode>General</c:formatCode>
                <c:ptCount val="3"/>
                <c:pt idx="0">
                  <c:v>4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gapWidth val="55"/>
        <c:axId val="50010001"/>
        <c:axId val="50010002"/>
      </c:barChart>
      <c:catAx>
        <c:axId val="5001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333375</xdr:colOff>
      <xdr:row>1</xdr:row>
      <xdr:rowOff>19050</xdr:rowOff>
    </xdr:from>
    <xdr:to>
      <xdr:col>12</xdr:col>
      <xdr:colOff>750404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53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39</xdr:row>
      <xdr:rowOff>95250</xdr:rowOff>
    </xdr:from>
    <xdr:to>
      <xdr:col>1</xdr:col>
      <xdr:colOff>533400</xdr:colOff>
      <xdr:row>39</xdr:row>
      <xdr:rowOff>342900</xdr:rowOff>
    </xdr:to>
    <xdr:pic>
      <xdr:nvPicPr>
        <xdr:cNvPr id="3" name="Picture 2" descr="icono_storm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5300" y="933450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41</xdr:row>
      <xdr:rowOff>95250</xdr:rowOff>
    </xdr:from>
    <xdr:to>
      <xdr:col>1</xdr:col>
      <xdr:colOff>533400</xdr:colOff>
      <xdr:row>41</xdr:row>
      <xdr:rowOff>342900</xdr:rowOff>
    </xdr:to>
    <xdr:pic>
      <xdr:nvPicPr>
        <xdr:cNvPr id="4" name="Picture 3" descr="icono_life-buoy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5300" y="9839325"/>
          <a:ext cx="247650" cy="24765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20</xdr:row>
      <xdr:rowOff>0</xdr:rowOff>
    </xdr:from>
    <xdr:to>
      <xdr:col>9</xdr:col>
      <xdr:colOff>533400</xdr:colOff>
      <xdr:row>34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3705225</xdr:colOff>
      <xdr:row>1</xdr:row>
      <xdr:rowOff>19050</xdr:rowOff>
    </xdr:from>
    <xdr:to>
      <xdr:col>10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1104900</xdr:colOff>
      <xdr:row>1</xdr:row>
      <xdr:rowOff>19050</xdr:rowOff>
    </xdr:from>
    <xdr:to>
      <xdr:col>4</xdr:col>
      <xdr:colOff>1112354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75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571500</xdr:colOff>
      <xdr:row>1</xdr:row>
      <xdr:rowOff>19050</xdr:rowOff>
    </xdr:from>
    <xdr:to>
      <xdr:col>4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101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4124325</xdr:colOff>
      <xdr:row>1</xdr:row>
      <xdr:rowOff>19050</xdr:rowOff>
    </xdr:from>
    <xdr:to>
      <xdr:col>2</xdr:col>
      <xdr:colOff>6313004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484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N43"/>
  <sheetViews>
    <sheetView showGridLines="0" tabSelected="1" zoomScale="90" zoomScaleNormal="90" workbookViewId="0"/>
  </sheetViews>
  <sheetFormatPr defaultRowHeight="15"/>
  <cols>
    <col min="1" max="1" width="3.140625" customWidth="1"/>
    <col min="2" max="13" width="13.28515625" customWidth="1"/>
    <col min="14" max="14" width="3.140625" customWidth="1"/>
  </cols>
  <sheetData>
    <row r="1" spans="1:14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40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7" spans="1:14" ht="27" customHeight="1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8" t="s">
        <v>4</v>
      </c>
    </row>
    <row r="9" spans="1:14" ht="24" customHeight="1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</row>
    <row r="10" spans="1:14" ht="21" customHeight="1">
      <c r="B10" s="13">
        <v>8</v>
      </c>
      <c r="C10" s="14"/>
      <c r="D10" s="14"/>
      <c r="E10" s="13">
        <v>8</v>
      </c>
      <c r="F10" s="14"/>
      <c r="G10" s="14"/>
      <c r="H10" s="13">
        <v>8</v>
      </c>
      <c r="I10" s="14"/>
      <c r="J10" s="14"/>
      <c r="K10" s="13">
        <v>802</v>
      </c>
      <c r="L10" s="14"/>
      <c r="M10" s="14"/>
    </row>
    <row r="11" spans="1:14" ht="21" customHeight="1"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</row>
    <row r="12" spans="1:14" ht="30" customHeight="1">
      <c r="B12" s="15" t="s">
        <v>6</v>
      </c>
      <c r="C12" s="15"/>
      <c r="D12" s="15"/>
      <c r="E12" s="15" t="s">
        <v>8</v>
      </c>
      <c r="F12" s="15"/>
      <c r="G12" s="15"/>
      <c r="H12" s="15" t="s">
        <v>10</v>
      </c>
      <c r="I12" s="15"/>
      <c r="J12" s="15"/>
      <c r="K12" s="15" t="s">
        <v>12</v>
      </c>
      <c r="L12" s="15"/>
      <c r="M12" s="15"/>
    </row>
    <row r="14" spans="1:14" ht="27" customHeight="1">
      <c r="B14" s="6" t="s">
        <v>13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4" ht="34" customHeight="1">
      <c r="B15" s="16" t="s">
        <v>14</v>
      </c>
      <c r="C15" s="16"/>
      <c r="D15" s="16"/>
      <c r="E15" s="16"/>
      <c r="F15" s="16"/>
      <c r="G15" s="16"/>
      <c r="H15" s="16"/>
      <c r="I15" s="16"/>
      <c r="J15" s="17" t="s">
        <v>15</v>
      </c>
      <c r="K15" s="17"/>
      <c r="L15" s="17"/>
      <c r="M15" s="17"/>
    </row>
    <row r="16" spans="1:14" ht="23" customHeight="1">
      <c r="B16" s="18" t="s">
        <v>16</v>
      </c>
      <c r="C16" s="18"/>
      <c r="D16" s="18"/>
      <c r="E16" s="18"/>
      <c r="F16" s="18"/>
      <c r="G16" s="18"/>
      <c r="H16" s="18"/>
      <c r="I16" s="18"/>
      <c r="J16" s="19">
        <v>4</v>
      </c>
      <c r="K16" s="19"/>
      <c r="L16" s="19"/>
      <c r="M16" s="19"/>
    </row>
    <row r="17" spans="2:13" ht="23" customHeight="1">
      <c r="B17" s="20" t="s">
        <v>17</v>
      </c>
      <c r="C17" s="20"/>
      <c r="D17" s="20"/>
      <c r="E17" s="20"/>
      <c r="F17" s="20"/>
      <c r="G17" s="20"/>
      <c r="H17" s="20"/>
      <c r="I17" s="20"/>
      <c r="J17" s="21">
        <v>2</v>
      </c>
      <c r="K17" s="21"/>
      <c r="L17" s="21"/>
      <c r="M17" s="21"/>
    </row>
    <row r="18" spans="2:13" ht="23" customHeight="1">
      <c r="B18" s="18" t="s">
        <v>18</v>
      </c>
      <c r="C18" s="18"/>
      <c r="D18" s="18"/>
      <c r="E18" s="18"/>
      <c r="F18" s="18"/>
      <c r="G18" s="18"/>
      <c r="H18" s="18"/>
      <c r="I18" s="18"/>
      <c r="J18" s="19">
        <v>2</v>
      </c>
      <c r="K18" s="19"/>
      <c r="L18" s="19"/>
      <c r="M18" s="19"/>
    </row>
    <row r="19" spans="2:13" ht="22" customHeight="1">
      <c r="B19" s="22" t="s">
        <v>19</v>
      </c>
      <c r="C19" s="22"/>
      <c r="D19" s="22"/>
      <c r="E19" s="22"/>
      <c r="F19" s="22"/>
      <c r="G19" s="22"/>
      <c r="H19" s="22"/>
      <c r="I19" s="22"/>
      <c r="J19" s="23">
        <f>SUM(J16:J18)</f>
        <v>8</v>
      </c>
      <c r="K19" s="23"/>
      <c r="L19" s="23"/>
      <c r="M19" s="23"/>
    </row>
    <row r="39" spans="2:13" ht="27" customHeight="1">
      <c r="B39" s="6" t="s">
        <v>20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</row>
    <row r="40" spans="2:13" ht="34" customHeight="1">
      <c r="B40" s="24"/>
      <c r="C40" s="25" t="s">
        <v>21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</row>
    <row r="41" spans="2:13" ht="6" customHeight="1"/>
    <row r="42" spans="2:13" ht="34" customHeight="1">
      <c r="B42" s="24"/>
      <c r="C42" s="25" t="s">
        <v>22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2:13" ht="6" customHeight="1"/>
  </sheetData>
  <mergeCells count="24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B15:I15"/>
    <mergeCell ref="J15:M15"/>
    <mergeCell ref="B16:I16"/>
    <mergeCell ref="J16:M16"/>
    <mergeCell ref="B17:I17"/>
    <mergeCell ref="J17:M17"/>
    <mergeCell ref="B18:I18"/>
    <mergeCell ref="J18:M18"/>
    <mergeCell ref="B19:I19"/>
    <mergeCell ref="J19:M19"/>
    <mergeCell ref="C40:M40"/>
    <mergeCell ref="C42:M42"/>
  </mergeCells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Humano&amp;R&amp;"Calibri,Regular"&amp;9&amp;K5A576529/09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L18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3.140625" customWidth="1"/>
    <col min="2" max="2" width="23.7109375" customWidth="1"/>
    <col min="3" max="3" width="16.7109375" customWidth="1"/>
    <col min="4" max="4" width="25.7109375" customWidth="1"/>
    <col min="5" max="5" width="30.7109375" customWidth="1"/>
    <col min="6" max="6" width="21.7109375" customWidth="1"/>
    <col min="7" max="7" width="18.7109375" customWidth="1"/>
    <col min="8" max="8" width="48.7109375" customWidth="1"/>
    <col min="9" max="9" width="30.7109375" customWidth="1"/>
    <col min="10" max="10" width="65.7109375" customWidth="1"/>
    <col min="11" max="11" width="24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23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7" customHeight="1">
      <c r="B7" s="6" t="s">
        <v>24</v>
      </c>
      <c r="C7" s="7"/>
      <c r="D7" s="7"/>
      <c r="E7" s="7"/>
      <c r="F7" s="7"/>
      <c r="G7" s="7"/>
      <c r="H7" s="7"/>
      <c r="I7" s="7"/>
      <c r="J7" s="7"/>
      <c r="K7" s="7"/>
    </row>
    <row r="8" spans="1:12" ht="36" customHeight="1">
      <c r="B8" s="16" t="s">
        <v>25</v>
      </c>
      <c r="C8" s="26" t="s">
        <v>26</v>
      </c>
      <c r="D8" s="26" t="s">
        <v>14</v>
      </c>
      <c r="E8" s="26" t="s">
        <v>27</v>
      </c>
      <c r="F8" s="26" t="s">
        <v>28</v>
      </c>
      <c r="G8" s="26" t="s">
        <v>29</v>
      </c>
      <c r="H8" s="26" t="s">
        <v>30</v>
      </c>
      <c r="I8" s="26" t="s">
        <v>31</v>
      </c>
      <c r="J8" s="26" t="s">
        <v>32</v>
      </c>
      <c r="K8" s="17" t="s">
        <v>33</v>
      </c>
    </row>
    <row r="9" spans="1:12" ht="45" customHeight="1">
      <c r="B9" s="18" t="s">
        <v>34</v>
      </c>
      <c r="C9" s="27" t="s">
        <v>35</v>
      </c>
      <c r="D9" s="27" t="s">
        <v>16</v>
      </c>
      <c r="E9" s="27" t="s">
        <v>36</v>
      </c>
      <c r="F9" s="27" t="s">
        <v>37</v>
      </c>
      <c r="G9" s="28" t="s">
        <v>38</v>
      </c>
      <c r="H9" s="27" t="s">
        <v>39</v>
      </c>
      <c r="I9" s="27" t="s">
        <v>40</v>
      </c>
      <c r="J9" s="27" t="s">
        <v>41</v>
      </c>
      <c r="K9" s="19">
        <v>36</v>
      </c>
    </row>
    <row r="10" spans="1:12" ht="45" customHeight="1">
      <c r="B10" s="20" t="s">
        <v>42</v>
      </c>
      <c r="C10" s="29" t="s">
        <v>35</v>
      </c>
      <c r="D10" s="29" t="s">
        <v>16</v>
      </c>
      <c r="E10" s="29" t="s">
        <v>36</v>
      </c>
      <c r="F10" s="29" t="s">
        <v>37</v>
      </c>
      <c r="G10" s="30" t="s">
        <v>43</v>
      </c>
      <c r="H10" s="29" t="s">
        <v>44</v>
      </c>
      <c r="I10" s="29" t="s">
        <v>40</v>
      </c>
      <c r="J10" s="29" t="s">
        <v>45</v>
      </c>
      <c r="K10" s="21">
        <v>45</v>
      </c>
    </row>
    <row r="11" spans="1:12" ht="45" customHeight="1">
      <c r="B11" s="18" t="s">
        <v>46</v>
      </c>
      <c r="C11" s="27" t="s">
        <v>35</v>
      </c>
      <c r="D11" s="27" t="s">
        <v>16</v>
      </c>
      <c r="E11" s="27" t="s">
        <v>36</v>
      </c>
      <c r="F11" s="27" t="s">
        <v>37</v>
      </c>
      <c r="G11" s="28" t="s">
        <v>47</v>
      </c>
      <c r="H11" s="27" t="s">
        <v>48</v>
      </c>
      <c r="I11" s="27" t="s">
        <v>40</v>
      </c>
      <c r="J11" s="27" t="s">
        <v>49</v>
      </c>
      <c r="K11" s="19">
        <v>36</v>
      </c>
    </row>
    <row r="12" spans="1:12" ht="45" customHeight="1">
      <c r="B12" s="20" t="s">
        <v>50</v>
      </c>
      <c r="C12" s="29" t="s">
        <v>35</v>
      </c>
      <c r="D12" s="29" t="s">
        <v>16</v>
      </c>
      <c r="E12" s="29" t="s">
        <v>36</v>
      </c>
      <c r="F12" s="29" t="s">
        <v>37</v>
      </c>
      <c r="G12" s="30" t="s">
        <v>51</v>
      </c>
      <c r="H12" s="29" t="s">
        <v>52</v>
      </c>
      <c r="I12" s="29" t="s">
        <v>40</v>
      </c>
      <c r="J12" s="29" t="s">
        <v>53</v>
      </c>
      <c r="K12" s="21">
        <v>36</v>
      </c>
    </row>
    <row r="13" spans="1:12" ht="45" customHeight="1">
      <c r="B13" s="18" t="s">
        <v>54</v>
      </c>
      <c r="C13" s="27" t="s">
        <v>35</v>
      </c>
      <c r="D13" s="27" t="s">
        <v>17</v>
      </c>
      <c r="E13" s="27" t="s">
        <v>55</v>
      </c>
      <c r="F13" s="27" t="s">
        <v>56</v>
      </c>
      <c r="G13" s="28" t="s">
        <v>57</v>
      </c>
      <c r="H13" s="27" t="s">
        <v>58</v>
      </c>
      <c r="I13" s="27" t="s">
        <v>40</v>
      </c>
      <c r="J13" s="27" t="s">
        <v>59</v>
      </c>
      <c r="K13" s="19">
        <v>36</v>
      </c>
    </row>
    <row r="14" spans="1:12" ht="45" customHeight="1">
      <c r="B14" s="20" t="s">
        <v>60</v>
      </c>
      <c r="C14" s="29" t="s">
        <v>35</v>
      </c>
      <c r="D14" s="29" t="s">
        <v>17</v>
      </c>
      <c r="E14" s="29" t="s">
        <v>55</v>
      </c>
      <c r="F14" s="29" t="s">
        <v>56</v>
      </c>
      <c r="G14" s="30" t="s">
        <v>61</v>
      </c>
      <c r="H14" s="29" t="s">
        <v>62</v>
      </c>
      <c r="I14" s="29" t="s">
        <v>40</v>
      </c>
      <c r="J14" s="29" t="s">
        <v>59</v>
      </c>
      <c r="K14" s="21">
        <v>36</v>
      </c>
    </row>
    <row r="15" spans="1:12" ht="45" customHeight="1">
      <c r="B15" s="18" t="s">
        <v>63</v>
      </c>
      <c r="C15" s="27" t="s">
        <v>64</v>
      </c>
      <c r="D15" s="27" t="s">
        <v>18</v>
      </c>
      <c r="E15" s="27" t="s">
        <v>65</v>
      </c>
      <c r="F15" s="27" t="s">
        <v>37</v>
      </c>
      <c r="G15" s="28" t="s">
        <v>66</v>
      </c>
      <c r="H15" s="27" t="s">
        <v>67</v>
      </c>
      <c r="I15" s="27" t="s">
        <v>68</v>
      </c>
      <c r="J15" s="27" t="s">
        <v>69</v>
      </c>
      <c r="K15" s="19">
        <v>29</v>
      </c>
    </row>
    <row r="16" spans="1:12" ht="45" customHeight="1">
      <c r="B16" s="20" t="s">
        <v>70</v>
      </c>
      <c r="C16" s="29" t="s">
        <v>64</v>
      </c>
      <c r="D16" s="29" t="s">
        <v>18</v>
      </c>
      <c r="E16" s="29" t="s">
        <v>65</v>
      </c>
      <c r="F16" s="29" t="s">
        <v>37</v>
      </c>
      <c r="G16" s="30" t="s">
        <v>71</v>
      </c>
      <c r="H16" s="29" t="s">
        <v>72</v>
      </c>
      <c r="I16" s="29" t="s">
        <v>68</v>
      </c>
      <c r="J16" s="29" t="s">
        <v>69</v>
      </c>
      <c r="K16" s="21">
        <v>6</v>
      </c>
    </row>
    <row r="18" spans="2:11" ht="70" customHeight="1">
      <c r="B18" s="31" t="s">
        <v>73</v>
      </c>
      <c r="C18" s="31"/>
      <c r="D18" s="31"/>
      <c r="E18" s="31"/>
      <c r="F18" s="31"/>
      <c r="G18" s="31"/>
      <c r="H18" s="31"/>
      <c r="I18" s="31"/>
      <c r="J18" s="31"/>
      <c r="K18" s="31"/>
    </row>
  </sheetData>
  <autoFilter ref="B8:K16"/>
  <mergeCells count="1">
    <mergeCell ref="B18:K18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Humano&amp;R&amp;"Calibri,Regular"&amp;9&amp;K5A576529/09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F18"/>
  <sheetViews>
    <sheetView showGridLines="0" workbookViewId="0"/>
  </sheetViews>
  <sheetFormatPr defaultRowHeight="15"/>
  <cols>
    <col min="1" max="1" width="3.140625" customWidth="1"/>
    <col min="2" max="2" width="18.7109375" customWidth="1"/>
    <col min="3" max="3" width="28.7109375" customWidth="1"/>
    <col min="4" max="4" width="32.7109375" customWidth="1"/>
    <col min="5" max="5" width="18.7109375" customWidth="1"/>
    <col min="6" max="6" width="3.140625" customWidth="1"/>
  </cols>
  <sheetData>
    <row r="1" spans="1:6" ht="12" customHeight="1">
      <c r="A1" s="1"/>
      <c r="B1" s="1"/>
      <c r="C1" s="1"/>
      <c r="D1" s="1"/>
      <c r="E1" s="1"/>
      <c r="F1" s="1"/>
    </row>
    <row r="2" spans="1:6" ht="40" customHeight="1">
      <c r="A2" s="1"/>
      <c r="B2" s="2" t="s">
        <v>11</v>
      </c>
      <c r="C2" s="1"/>
      <c r="D2" s="1"/>
      <c r="E2" s="1"/>
      <c r="F2" s="1"/>
    </row>
    <row r="3" spans="1:6" ht="22" customHeight="1">
      <c r="A3" s="1"/>
      <c r="B3" s="3" t="s">
        <v>1</v>
      </c>
      <c r="C3" s="1"/>
      <c r="D3" s="1"/>
      <c r="E3" s="1"/>
      <c r="F3" s="1"/>
    </row>
    <row r="4" spans="1:6" ht="20" customHeight="1">
      <c r="A4" s="1"/>
      <c r="B4" s="4" t="s">
        <v>2</v>
      </c>
      <c r="C4" s="1"/>
      <c r="D4" s="1"/>
      <c r="E4" s="1"/>
      <c r="F4" s="1"/>
    </row>
    <row r="5" spans="1:6" ht="5" customHeight="1">
      <c r="A5" s="5"/>
      <c r="B5" s="5"/>
      <c r="C5" s="5"/>
      <c r="D5" s="5"/>
      <c r="E5" s="5"/>
      <c r="F5" s="5"/>
    </row>
    <row r="7" spans="1:6" ht="27" customHeight="1">
      <c r="B7" s="6" t="s">
        <v>74</v>
      </c>
      <c r="C7" s="7"/>
      <c r="D7" s="7"/>
      <c r="E7" s="7"/>
    </row>
    <row r="8" spans="1:6" ht="36" customHeight="1">
      <c r="B8" s="16" t="s">
        <v>75</v>
      </c>
      <c r="C8" s="26" t="s">
        <v>14</v>
      </c>
      <c r="D8" s="26" t="s">
        <v>27</v>
      </c>
      <c r="E8" s="17" t="s">
        <v>76</v>
      </c>
    </row>
    <row r="9" spans="1:6" ht="23" customHeight="1">
      <c r="B9" s="18" t="s">
        <v>77</v>
      </c>
      <c r="C9" s="27" t="s">
        <v>18</v>
      </c>
      <c r="D9" s="27" t="s">
        <v>78</v>
      </c>
      <c r="E9" s="19">
        <v>30</v>
      </c>
    </row>
    <row r="10" spans="1:6" ht="23" customHeight="1">
      <c r="B10" s="20" t="s">
        <v>77</v>
      </c>
      <c r="C10" s="29" t="s">
        <v>18</v>
      </c>
      <c r="D10" s="29" t="s">
        <v>78</v>
      </c>
      <c r="E10" s="21">
        <v>25</v>
      </c>
    </row>
    <row r="11" spans="1:6" ht="23" customHeight="1">
      <c r="B11" s="18" t="s">
        <v>77</v>
      </c>
      <c r="C11" s="27" t="s">
        <v>79</v>
      </c>
      <c r="D11" s="27" t="s">
        <v>79</v>
      </c>
      <c r="E11" s="19">
        <v>150</v>
      </c>
    </row>
    <row r="12" spans="1:6" ht="23" customHeight="1">
      <c r="B12" s="20" t="s">
        <v>77</v>
      </c>
      <c r="C12" s="29" t="s">
        <v>16</v>
      </c>
      <c r="D12" s="29" t="s">
        <v>80</v>
      </c>
      <c r="E12" s="21">
        <v>100</v>
      </c>
    </row>
    <row r="13" spans="1:6" ht="23" customHeight="1">
      <c r="B13" s="18" t="s">
        <v>77</v>
      </c>
      <c r="C13" s="27" t="s">
        <v>81</v>
      </c>
      <c r="D13" s="27" t="s">
        <v>82</v>
      </c>
      <c r="E13" s="19">
        <v>97</v>
      </c>
    </row>
    <row r="14" spans="1:6" ht="23" customHeight="1">
      <c r="B14" s="20" t="s">
        <v>77</v>
      </c>
      <c r="C14" s="29" t="s">
        <v>81</v>
      </c>
      <c r="D14" s="29" t="s">
        <v>82</v>
      </c>
      <c r="E14" s="21">
        <v>100</v>
      </c>
    </row>
    <row r="15" spans="1:6" ht="23" customHeight="1">
      <c r="B15" s="18" t="s">
        <v>83</v>
      </c>
      <c r="C15" s="27" t="s">
        <v>16</v>
      </c>
      <c r="D15" s="27" t="s">
        <v>36</v>
      </c>
      <c r="E15" s="19">
        <v>300</v>
      </c>
    </row>
    <row r="16" spans="1:6" ht="22" customHeight="1">
      <c r="B16" s="22" t="s">
        <v>19</v>
      </c>
      <c r="C16" s="32"/>
      <c r="D16" s="32"/>
      <c r="E16" s="23">
        <f>SUM(E9:E15)</f>
        <v>802</v>
      </c>
    </row>
    <row r="18" spans="2:5" ht="45" customHeight="1">
      <c r="B18" s="31" t="s">
        <v>84</v>
      </c>
      <c r="C18" s="31"/>
      <c r="D18" s="31"/>
      <c r="E18" s="31"/>
    </row>
  </sheetData>
  <autoFilter ref="B8:E15"/>
  <mergeCells count="1">
    <mergeCell ref="B18:E18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Humano&amp;R&amp;"Calibri,Regular"&amp;9&amp;K5A576529/09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32C74"/>
    <pageSetUpPr fitToPage="1"/>
  </sheetPr>
  <dimension ref="A1:F31"/>
  <sheetViews>
    <sheetView showGridLines="0" workbookViewId="0"/>
  </sheetViews>
  <sheetFormatPr defaultRowHeight="15"/>
  <cols>
    <col min="1" max="1" width="3.140625" customWidth="1"/>
    <col min="2" max="2" width="26.7109375" customWidth="1"/>
    <col min="3" max="3" width="30.7109375" customWidth="1"/>
    <col min="4" max="4" width="18.7109375" customWidth="1"/>
    <col min="5" max="5" width="24.7109375" customWidth="1"/>
    <col min="6" max="6" width="3.140625" customWidth="1"/>
  </cols>
  <sheetData>
    <row r="1" spans="1:6" ht="12" customHeight="1">
      <c r="A1" s="1"/>
      <c r="B1" s="1"/>
      <c r="C1" s="1"/>
      <c r="D1" s="1"/>
      <c r="E1" s="1"/>
      <c r="F1" s="1"/>
    </row>
    <row r="2" spans="1:6" ht="40" customHeight="1">
      <c r="A2" s="1"/>
      <c r="B2" s="2" t="s">
        <v>85</v>
      </c>
      <c r="C2" s="1"/>
      <c r="D2" s="1"/>
      <c r="E2" s="1"/>
      <c r="F2" s="1"/>
    </row>
    <row r="3" spans="1:6" ht="22" customHeight="1">
      <c r="A3" s="1"/>
      <c r="B3" s="3" t="s">
        <v>1</v>
      </c>
      <c r="C3" s="1"/>
      <c r="D3" s="1"/>
      <c r="E3" s="1"/>
      <c r="F3" s="1"/>
    </row>
    <row r="4" spans="1:6" ht="20" customHeight="1">
      <c r="A4" s="1"/>
      <c r="B4" s="4" t="s">
        <v>2</v>
      </c>
      <c r="C4" s="1"/>
      <c r="D4" s="1"/>
      <c r="E4" s="1"/>
      <c r="F4" s="1"/>
    </row>
    <row r="5" spans="1:6" ht="5" customHeight="1">
      <c r="A5" s="5"/>
      <c r="B5" s="5"/>
      <c r="C5" s="5"/>
      <c r="D5" s="5"/>
      <c r="E5" s="5"/>
      <c r="F5" s="5"/>
    </row>
    <row r="7" spans="1:6" ht="27" customHeight="1">
      <c r="B7" s="6" t="s">
        <v>86</v>
      </c>
      <c r="C7" s="7"/>
      <c r="D7" s="7"/>
      <c r="E7" s="7"/>
    </row>
    <row r="8" spans="1:6" ht="34" customHeight="1">
      <c r="B8" s="16" t="s">
        <v>87</v>
      </c>
      <c r="C8" s="16"/>
      <c r="D8" s="17" t="s">
        <v>88</v>
      </c>
      <c r="E8" s="17" t="s">
        <v>89</v>
      </c>
    </row>
    <row r="9" spans="1:6" ht="25" customHeight="1">
      <c r="B9" s="18" t="s">
        <v>90</v>
      </c>
      <c r="C9" s="18"/>
      <c r="D9" s="19">
        <v>145523</v>
      </c>
      <c r="E9" s="33" t="s">
        <v>91</v>
      </c>
    </row>
    <row r="10" spans="1:6" ht="25" customHeight="1">
      <c r="B10" s="20" t="s">
        <v>92</v>
      </c>
      <c r="C10" s="20"/>
      <c r="D10" s="21">
        <v>44098</v>
      </c>
      <c r="E10" s="34" t="s">
        <v>91</v>
      </c>
    </row>
    <row r="11" spans="1:6" ht="25" customHeight="1">
      <c r="B11" s="18" t="s">
        <v>93</v>
      </c>
      <c r="C11" s="18"/>
      <c r="D11" s="33" t="s">
        <v>91</v>
      </c>
      <c r="E11" s="35">
        <v>13405351.02</v>
      </c>
    </row>
    <row r="13" spans="1:6" ht="40" customHeight="1">
      <c r="B13" s="31" t="s">
        <v>94</v>
      </c>
      <c r="C13" s="31"/>
      <c r="D13" s="31"/>
      <c r="E13" s="31"/>
    </row>
    <row r="15" spans="1:6" ht="27" customHeight="1">
      <c r="B15" s="6" t="s">
        <v>95</v>
      </c>
      <c r="C15" s="7"/>
      <c r="D15" s="7"/>
      <c r="E15" s="7"/>
    </row>
    <row r="16" spans="1:6" ht="36" customHeight="1">
      <c r="B16" s="16" t="s">
        <v>14</v>
      </c>
      <c r="C16" s="26" t="s">
        <v>96</v>
      </c>
      <c r="D16" s="17" t="s">
        <v>97</v>
      </c>
      <c r="E16" s="17" t="s">
        <v>89</v>
      </c>
    </row>
    <row r="17" spans="2:5" ht="24" customHeight="1">
      <c r="B17" s="18" t="s">
        <v>81</v>
      </c>
      <c r="C17" s="27" t="s">
        <v>98</v>
      </c>
      <c r="D17" s="19">
        <v>1</v>
      </c>
      <c r="E17" s="35">
        <v>303.99</v>
      </c>
    </row>
    <row r="18" spans="2:5" ht="24" customHeight="1">
      <c r="B18" s="20" t="s">
        <v>16</v>
      </c>
      <c r="C18" s="29" t="s">
        <v>98</v>
      </c>
      <c r="D18" s="21">
        <v>67</v>
      </c>
      <c r="E18" s="36">
        <v>19264.51</v>
      </c>
    </row>
    <row r="19" spans="2:5" ht="24" customHeight="1">
      <c r="B19" s="18" t="s">
        <v>18</v>
      </c>
      <c r="C19" s="27" t="s">
        <v>98</v>
      </c>
      <c r="D19" s="19">
        <v>45</v>
      </c>
      <c r="E19" s="35">
        <v>13632.3</v>
      </c>
    </row>
    <row r="20" spans="2:5" ht="22" customHeight="1">
      <c r="B20" s="22" t="s">
        <v>19</v>
      </c>
      <c r="C20" s="32"/>
      <c r="D20" s="23">
        <f>SUM(D17:D19)</f>
        <v>113</v>
      </c>
      <c r="E20" s="37">
        <f>SUM(E17:E19)</f>
        <v>33200.799999999996</v>
      </c>
    </row>
    <row r="22" spans="2:5" ht="27" customHeight="1">
      <c r="B22" s="6" t="s">
        <v>99</v>
      </c>
      <c r="C22" s="7"/>
      <c r="D22" s="7"/>
      <c r="E22" s="7"/>
    </row>
    <row r="23" spans="2:5" ht="36" customHeight="1">
      <c r="B23" s="16" t="s">
        <v>14</v>
      </c>
      <c r="C23" s="26" t="s">
        <v>96</v>
      </c>
      <c r="D23" s="17" t="s">
        <v>97</v>
      </c>
      <c r="E23" s="17" t="s">
        <v>89</v>
      </c>
    </row>
    <row r="24" spans="2:5" ht="24" customHeight="1">
      <c r="B24" s="18" t="s">
        <v>17</v>
      </c>
      <c r="C24" s="27" t="s">
        <v>98</v>
      </c>
      <c r="D24" s="19">
        <v>181</v>
      </c>
      <c r="E24" s="35">
        <v>55022.19</v>
      </c>
    </row>
    <row r="25" spans="2:5" ht="24" customHeight="1">
      <c r="B25" s="20" t="s">
        <v>79</v>
      </c>
      <c r="C25" s="29" t="s">
        <v>98</v>
      </c>
      <c r="D25" s="21">
        <v>530</v>
      </c>
      <c r="E25" s="36">
        <v>160558.2</v>
      </c>
    </row>
    <row r="26" spans="2:5" ht="24" customHeight="1">
      <c r="B26" s="18" t="s">
        <v>16</v>
      </c>
      <c r="C26" s="27" t="s">
        <v>98</v>
      </c>
      <c r="D26" s="19">
        <v>344</v>
      </c>
      <c r="E26" s="35">
        <v>104246.01</v>
      </c>
    </row>
    <row r="27" spans="2:5" ht="24" customHeight="1">
      <c r="B27" s="20" t="s">
        <v>100</v>
      </c>
      <c r="C27" s="29" t="s">
        <v>98</v>
      </c>
      <c r="D27" s="21">
        <v>5</v>
      </c>
      <c r="E27" s="36">
        <v>1519.95</v>
      </c>
    </row>
    <row r="28" spans="2:5" ht="24" customHeight="1">
      <c r="B28" s="18" t="s">
        <v>101</v>
      </c>
      <c r="C28" s="27" t="s">
        <v>98</v>
      </c>
      <c r="D28" s="19">
        <v>109</v>
      </c>
      <c r="E28" s="35">
        <v>33033.06</v>
      </c>
    </row>
    <row r="29" spans="2:5" ht="22" customHeight="1">
      <c r="B29" s="22" t="s">
        <v>19</v>
      </c>
      <c r="C29" s="32"/>
      <c r="D29" s="23">
        <f>SUM(D24:D28)</f>
        <v>1169</v>
      </c>
      <c r="E29" s="37">
        <f>SUM(E24:E28)</f>
        <v>354379.41000000003</v>
      </c>
    </row>
    <row r="31" spans="2:5" ht="100" customHeight="1">
      <c r="B31" s="31" t="s">
        <v>102</v>
      </c>
      <c r="C31" s="31"/>
      <c r="D31" s="31"/>
      <c r="E31" s="31"/>
    </row>
  </sheetData>
  <mergeCells count="6">
    <mergeCell ref="B8:C8"/>
    <mergeCell ref="B9:C9"/>
    <mergeCell ref="B10:C10"/>
    <mergeCell ref="B11:C11"/>
    <mergeCell ref="B13:E13"/>
    <mergeCell ref="B31:E31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Humano&amp;R&amp;"Calibri,Regular"&amp;9&amp;K5A576529/09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31"/>
  <sheetViews>
    <sheetView showGridLines="0" zoomScale="95" zoomScaleNormal="95" workbookViewId="0"/>
  </sheetViews>
  <sheetFormatPr defaultRowHeight="15"/>
  <cols>
    <col min="1" max="1" width="3.140625" customWidth="1"/>
    <col min="2" max="2" width="34.7109375" customWidth="1"/>
    <col min="3" max="3" width="96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103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7" spans="1:4" ht="27" customHeight="1">
      <c r="B7" s="6" t="s">
        <v>104</v>
      </c>
      <c r="C7" s="7"/>
    </row>
    <row r="8" spans="1:4" ht="34" customHeight="1">
      <c r="B8" s="16" t="s">
        <v>105</v>
      </c>
      <c r="C8" s="26" t="s">
        <v>106</v>
      </c>
    </row>
    <row r="9" spans="1:4" ht="22" customHeight="1">
      <c r="B9" s="18" t="s">
        <v>107</v>
      </c>
      <c r="C9" s="27" t="s">
        <v>4</v>
      </c>
    </row>
    <row r="10" spans="1:4" ht="22" customHeight="1">
      <c r="B10" s="20" t="s">
        <v>108</v>
      </c>
      <c r="C10" s="29" t="s">
        <v>109</v>
      </c>
    </row>
    <row r="11" spans="1:4" ht="22" customHeight="1">
      <c r="B11" s="18" t="s">
        <v>76</v>
      </c>
      <c r="C11" s="27" t="s">
        <v>110</v>
      </c>
    </row>
    <row r="12" spans="1:4" ht="22" customHeight="1">
      <c r="B12" s="20" t="s">
        <v>111</v>
      </c>
      <c r="C12" s="29" t="s">
        <v>112</v>
      </c>
    </row>
    <row r="14" spans="1:4" ht="27" customHeight="1">
      <c r="B14" s="6" t="s">
        <v>113</v>
      </c>
      <c r="C14" s="7"/>
    </row>
    <row r="15" spans="1:4" ht="34" customHeight="1">
      <c r="B15" s="16" t="s">
        <v>87</v>
      </c>
      <c r="C15" s="26" t="s">
        <v>114</v>
      </c>
    </row>
    <row r="16" spans="1:4" ht="120" customHeight="1">
      <c r="B16" s="18" t="s">
        <v>15</v>
      </c>
      <c r="C16" s="27" t="s">
        <v>73</v>
      </c>
    </row>
    <row r="17" spans="2:3" ht="40" customHeight="1">
      <c r="B17" s="20" t="s">
        <v>76</v>
      </c>
      <c r="C17" s="29" t="s">
        <v>84</v>
      </c>
    </row>
    <row r="18" spans="2:3" ht="75" customHeight="1">
      <c r="B18" s="18" t="s">
        <v>111</v>
      </c>
      <c r="C18" s="27" t="s">
        <v>102</v>
      </c>
    </row>
    <row r="19" spans="2:3" ht="40" customHeight="1">
      <c r="B19" s="20" t="s">
        <v>115</v>
      </c>
      <c r="C19" s="29" t="s">
        <v>116</v>
      </c>
    </row>
    <row r="21" spans="2:3" ht="27" customHeight="1">
      <c r="B21" s="6" t="s">
        <v>117</v>
      </c>
      <c r="C21" s="7"/>
    </row>
    <row r="22" spans="2:3" ht="34" customHeight="1">
      <c r="B22" s="38" t="s">
        <v>118</v>
      </c>
      <c r="C22" s="39" t="s">
        <v>119</v>
      </c>
    </row>
    <row r="23" spans="2:3" ht="34" customHeight="1">
      <c r="B23" s="38" t="s">
        <v>120</v>
      </c>
      <c r="C23" s="39" t="s">
        <v>121</v>
      </c>
    </row>
    <row r="24" spans="2:3" ht="34" customHeight="1">
      <c r="B24" s="38" t="s">
        <v>122</v>
      </c>
      <c r="C24" s="39" t="s">
        <v>123</v>
      </c>
    </row>
    <row r="25" spans="2:3" ht="34" customHeight="1">
      <c r="B25" s="38" t="s">
        <v>124</v>
      </c>
      <c r="C25" s="39" t="s">
        <v>125</v>
      </c>
    </row>
    <row r="27" spans="2:3" ht="27" customHeight="1">
      <c r="B27" s="6" t="s">
        <v>126</v>
      </c>
      <c r="C27" s="7"/>
    </row>
    <row r="28" spans="2:3" ht="22" customHeight="1">
      <c r="B28" s="40" t="s">
        <v>127</v>
      </c>
      <c r="C28" s="41" t="s">
        <v>3</v>
      </c>
    </row>
    <row r="29" spans="2:3" ht="22" customHeight="1">
      <c r="B29" s="40" t="s">
        <v>15</v>
      </c>
      <c r="C29" s="41" t="s">
        <v>128</v>
      </c>
    </row>
    <row r="30" spans="2:3" ht="22" customHeight="1">
      <c r="B30" s="40" t="s">
        <v>76</v>
      </c>
      <c r="C30" s="41" t="s">
        <v>129</v>
      </c>
    </row>
    <row r="31" spans="2:3" ht="22" customHeight="1">
      <c r="B31" s="40" t="s">
        <v>111</v>
      </c>
      <c r="C31" s="41" t="s">
        <v>130</v>
      </c>
    </row>
  </sheetData>
  <hyperlinks>
    <hyperlink ref="B28" location="'Resumen'!A1" tooltip="Ir a la hoja Resumen" display="Resumen"/>
    <hyperlink ref="B29" location="'Alertas'!A1" tooltip="Ir a la hoja Alertas" display="Alertas"/>
    <hyperlink ref="B30" location="'Kits'!A1" tooltip="Ir a la hoja Kits" display="Kits"/>
    <hyperlink ref="B31" location="'Bonos'!A1" tooltip="Ir a la hoja Bonos" display="Bonos"/>
  </hyperlinks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Humano&amp;R&amp;"Calibri,Regular"&amp;9&amp;K5A576529/09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Resumen</vt:lpstr>
      <vt:lpstr>Alertas</vt:lpstr>
      <vt:lpstr>Kits</vt:lpstr>
      <vt:lpstr>Bonos</vt:lpstr>
      <vt:lpstr>Ficha técnica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Seguimiento y respuesta MTDH</dc:title>
  <dc:subject>Seguimiento y respuesta · 29/09 al 26/10/2026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2026-10-26T18:06:33Z</dcterms:created>
  <dcterms:modified xsi:type="dcterms:W3CDTF">2026-10-26T18:06:33Z</dcterms:modified>
  <cp:category>Indicadores estratégicos</cp:category>
</cp:coreProperties>
</file>