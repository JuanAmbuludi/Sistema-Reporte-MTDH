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5200" windowHeight="15600"/>
  </bookViews>
  <sheets>
    <sheet name="Resumen" sheetId="1" r:id="rId1"/>
    <sheet name="Unidades suspendidas" sheetId="2" r:id="rId2"/>
    <sheet name="Alertas" sheetId="3" r:id="rId3"/>
    <sheet name="Evolución" sheetId="4" r:id="rId4"/>
    <sheet name="Kits" sheetId="5" r:id="rId5"/>
    <sheet name="Entregas Kobo" sheetId="6" r:id="rId6"/>
    <sheet name="Bono" sheetId="7" r:id="rId7"/>
    <sheet name="Provincias" sheetId="8" r:id="rId8"/>
    <sheet name="Ficha técnica" sheetId="9" r:id="rId9"/>
  </sheets>
  <definedNames>
    <definedName name="_xlnm._FilterDatabase" localSheetId="2" hidden="1">Alertas!$B$8:$K$18</definedName>
    <definedName name="_xlnm._FilterDatabase" localSheetId="5" hidden="1">'Entregas Kobo'!$B$10:$H$99</definedName>
    <definedName name="_xlnm._FilterDatabase" localSheetId="3" hidden="1">Evolución!$B$8:$D$51</definedName>
    <definedName name="_xlnm._FilterDatabase" localSheetId="7" hidden="1">Provincias!$B$8:$H$28</definedName>
    <definedName name="_xlnm._FilterDatabase" localSheetId="1" hidden="1">'Unidades suspendidas'!$B$8:$G$107</definedName>
    <definedName name="_xlnm.Print_Area" localSheetId="8">'Ficha técnica'!$A$1:$D$17</definedName>
    <definedName name="_xlnm.Print_Area" localSheetId="0">Resumen!$A$1:$Q$74</definedName>
  </definedNames>
  <calcPr calcId="124519" fullCalcOnLoad="1"/>
</workbook>
</file>

<file path=xl/sharedStrings.xml><?xml version="1.0" encoding="utf-8"?>
<sst xmlns="http://schemas.openxmlformats.org/spreadsheetml/2006/main" count="1076" uniqueCount="335">
  <si>
    <t>Riesgos · Respuesta del Ministerio</t>
  </si>
  <si>
    <t>Del 14/09/2026 al 26/10/2026 · Nacional · Todos los servicios</t>
  </si>
  <si>
    <t>Respuesta al 26/10/2026</t>
  </si>
  <si>
    <t>Cifras clave</t>
  </si>
  <si>
    <t>Del 14/09/2026 al 26/10/2026</t>
  </si>
  <si>
    <t>Alertas con código UA</t>
  </si>
  <si>
    <t>Registros distintos · desde 14/09/2026</t>
  </si>
  <si>
    <t>Kits entregados</t>
  </si>
  <si>
    <t>20 provincias priorizadas · corte 26/10, 22:26</t>
  </si>
  <si>
    <t>Núcleos familiares con bono gestionado</t>
  </si>
  <si>
    <t>Por inundaciones · gestión del bono</t>
  </si>
  <si>
    <t>Monto de bonos gestionados</t>
  </si>
  <si>
    <t>Corte del bono: 23/10/2026</t>
  </si>
  <si>
    <t>Unidades cerradas / suspendidas</t>
  </si>
  <si>
    <t>64 CNH · 35 CDI · corte 26/10, 16:00</t>
  </si>
  <si>
    <t>Continuidad de los servicios</t>
  </si>
  <si>
    <t>99 UA suspendidas · reporte territorial al 26/10/2026, 16:00</t>
  </si>
  <si>
    <t>Por servicio</t>
  </si>
  <si>
    <t>Servicio</t>
  </si>
  <si>
    <t>UA suspendidas</t>
  </si>
  <si>
    <t>Participación</t>
  </si>
  <si>
    <t>CNH</t>
  </si>
  <si>
    <t>CDI</t>
  </si>
  <si>
    <t>Total de la selección</t>
  </si>
  <si>
    <t>Por provincia</t>
  </si>
  <si>
    <t>Provincia</t>
  </si>
  <si>
    <t>El Oro</t>
  </si>
  <si>
    <t>Guayas</t>
  </si>
  <si>
    <t>Santa Elena</t>
  </si>
  <si>
    <t>Evolución de las alertas</t>
  </si>
  <si>
    <t>10 alertas con código UA · desde el 14/09/2026</t>
  </si>
  <si>
    <t>Aspectos destacados</t>
  </si>
  <si>
    <t>99 unidades de atención con atención suspendida (64 CNH · 35 CDI); El Oro concentra 75 (75,8 %).</t>
  </si>
  <si>
    <t>10 alertas con 10 códigos UA distintos: 8 Desarrollo Infantil; 2 Creciendo con Nuestros Hijos (CNH). Se excluyen los registros sin código UA.</t>
  </si>
  <si>
    <t>13.390 kits en 20 provincias priorizadas; corte 26/10/2026.</t>
  </si>
  <si>
    <t>113 núcleos familiares con bono gestionado: USD 33.200,80.</t>
  </si>
  <si>
    <t>Unidades de atención suspendidas</t>
  </si>
  <si>
    <t>99 unidades suspendidas · 64 CNH · 35 CDI</t>
  </si>
  <si>
    <t>Fuente: reporte territorial de unidades con suspensión total o presencial. Corte: 26/10/2026, 16:00.</t>
  </si>
  <si>
    <t>Cantón</t>
  </si>
  <si>
    <t>Unidad de atención</t>
  </si>
  <si>
    <t>Estado de atención</t>
  </si>
  <si>
    <t>Unidades</t>
  </si>
  <si>
    <t>El Guabo</t>
  </si>
  <si>
    <t>Caritas Alegres</t>
  </si>
  <si>
    <t>Suspendida</t>
  </si>
  <si>
    <t>Dina Verdi</t>
  </si>
  <si>
    <t>Estrellita de Mar</t>
  </si>
  <si>
    <t>Gotitas de Amor</t>
  </si>
  <si>
    <t>Milagritos de Dios</t>
  </si>
  <si>
    <t>Niños al Futuro</t>
  </si>
  <si>
    <t>Raquel Aguilar</t>
  </si>
  <si>
    <t>Súper Niño</t>
  </si>
  <si>
    <t>Tío Boanerges</t>
  </si>
  <si>
    <t>Pasaje</t>
  </si>
  <si>
    <t>Aprender Jugando</t>
  </si>
  <si>
    <t>Buen Vivir de los Niños y Niñas</t>
  </si>
  <si>
    <t>Pasitos con Amor</t>
  </si>
  <si>
    <t>—</t>
  </si>
  <si>
    <t>Suspendida presencial</t>
  </si>
  <si>
    <t>Guayaquil</t>
  </si>
  <si>
    <t>9 de Enero</t>
  </si>
  <si>
    <t>Amiguitos del Futuro</t>
  </si>
  <si>
    <t>Angelitos Dei</t>
  </si>
  <si>
    <t>Camino al Buen Vivir</t>
  </si>
  <si>
    <t>Cosechando Sueños</t>
  </si>
  <si>
    <t>Jardín de los Sueños</t>
  </si>
  <si>
    <t>Los Niños del Mañana</t>
  </si>
  <si>
    <t>Manantial del Saber</t>
  </si>
  <si>
    <t>María Teresa</t>
  </si>
  <si>
    <t>María de la Paz</t>
  </si>
  <si>
    <t>Mundo Infantil</t>
  </si>
  <si>
    <t>Niños San Rafael</t>
  </si>
  <si>
    <t>Nuestros Niños en Dios</t>
  </si>
  <si>
    <t>Rivera de los Vergeles</t>
  </si>
  <si>
    <t>Sueños Infantiles</t>
  </si>
  <si>
    <t>Virgen de las Mercedes #218</t>
  </si>
  <si>
    <t>Ángel de Luz</t>
  </si>
  <si>
    <t>Salinas</t>
  </si>
  <si>
    <t>Los Piqueritos</t>
  </si>
  <si>
    <t>Mickey Mouse</t>
  </si>
  <si>
    <t>Mis Pequeños Angelitos</t>
  </si>
  <si>
    <t>Tía Peluca</t>
  </si>
  <si>
    <t>Semillitas del Mañana</t>
  </si>
  <si>
    <t>Mis Primeras Enseñanzas</t>
  </si>
  <si>
    <t>10 alertas · de la más reciente a la más antigua</t>
  </si>
  <si>
    <t>Alerta</t>
  </si>
  <si>
    <t>Fecha de registro</t>
  </si>
  <si>
    <t>Código UA</t>
  </si>
  <si>
    <t>Afectación al servicio</t>
  </si>
  <si>
    <t>Estado</t>
  </si>
  <si>
    <t>Prioridad</t>
  </si>
  <si>
    <t>ALT-2026-000325</t>
  </si>
  <si>
    <t>Milagro</t>
  </si>
  <si>
    <t>62210</t>
  </si>
  <si>
    <t>Gotita del Amor</t>
  </si>
  <si>
    <t>Desarrollo Infantil</t>
  </si>
  <si>
    <t>Ingreso de agua en la unidad; sin energía ni agua</t>
  </si>
  <si>
    <t>Pendiente</t>
  </si>
  <si>
    <t>Baja</t>
  </si>
  <si>
    <t>ALT-2026-000323</t>
  </si>
  <si>
    <t>14294</t>
  </si>
  <si>
    <t>Ingreso de agua y goteras en la unidad</t>
  </si>
  <si>
    <t>ALT-2026-000322</t>
  </si>
  <si>
    <t>13916</t>
  </si>
  <si>
    <t>Niños Juguetones</t>
  </si>
  <si>
    <t>Agua dentro y fuera de la unidad</t>
  </si>
  <si>
    <t>ALT-2026-000321</t>
  </si>
  <si>
    <t>62208</t>
  </si>
  <si>
    <t>Pequeños Jilgueritos</t>
  </si>
  <si>
    <t>Acumulación de agua en la entrada de la unidad</t>
  </si>
  <si>
    <t>ALT-2026-000319</t>
  </si>
  <si>
    <t>60221</t>
  </si>
  <si>
    <t>Centro de Desarrollo Infantil Estrellita de Mar</t>
  </si>
  <si>
    <t>Ingreso de agua; cambio temporal a modalidad virtual</t>
  </si>
  <si>
    <t>En seguimiento</t>
  </si>
  <si>
    <t>ALT-2026-000318</t>
  </si>
  <si>
    <t>60220</t>
  </si>
  <si>
    <t>Centro de Desarrollo Infantil Súper Niño</t>
  </si>
  <si>
    <t>ALT-2026-000316</t>
  </si>
  <si>
    <t>58337</t>
  </si>
  <si>
    <t>CDI Niños de San Rafael</t>
  </si>
  <si>
    <t>Alerta por inundación en Tenguel vinculada a la UA; afectación al servicio por confirmar.</t>
  </si>
  <si>
    <t>ALT-2026-000315</t>
  </si>
  <si>
    <t>58336</t>
  </si>
  <si>
    <t>CDI Los Niños del Cisne</t>
  </si>
  <si>
    <t>ALT-2026-000310</t>
  </si>
  <si>
    <t>Manabí</t>
  </si>
  <si>
    <t>Flavio Alfaro</t>
  </si>
  <si>
    <t>56744</t>
  </si>
  <si>
    <t>CNH Estrellitas del Amanecer</t>
  </si>
  <si>
    <t>Creciendo con Nuestros Hijos (CNH)</t>
  </si>
  <si>
    <t>Acceso impedido para atención presencial; contacto telefónico temporal</t>
  </si>
  <si>
    <t>ALT-2026-000309</t>
  </si>
  <si>
    <t>56204</t>
  </si>
  <si>
    <t>Correo Infantil</t>
  </si>
  <si>
    <t>Desde el 14/09/2026</t>
  </si>
  <si>
    <t>Fecha</t>
  </si>
  <si>
    <t>Registradas en el día</t>
  </si>
  <si>
    <t>Acumuladas</t>
  </si>
  <si>
    <t>Kits entregados en provincias priorizadas</t>
  </si>
  <si>
    <t>Kobo · corte 26/10/2026 · 22:26:42</t>
  </si>
  <si>
    <t>Kits</t>
  </si>
  <si>
    <t>Núcleos familiares reportados*</t>
  </si>
  <si>
    <t>Registros Kobo</t>
  </si>
  <si>
    <t>Esmeraldas</t>
  </si>
  <si>
    <t>Carchi</t>
  </si>
  <si>
    <t>Azuay</t>
  </si>
  <si>
    <t>Imbabura</t>
  </si>
  <si>
    <t>Cotopaxi</t>
  </si>
  <si>
    <t>Bolívar</t>
  </si>
  <si>
    <t>Loja</t>
  </si>
  <si>
    <t>Pichincha</t>
  </si>
  <si>
    <t>Los Ríos</t>
  </si>
  <si>
    <t>Napo</t>
  </si>
  <si>
    <t>Sucumbíos</t>
  </si>
  <si>
    <t>Tungurahua</t>
  </si>
  <si>
    <t>Santo Domingo de los Tsáchilas</t>
  </si>
  <si>
    <t>Zamora Chinchipe</t>
  </si>
  <si>
    <t>Chimborazo</t>
  </si>
  <si>
    <t>Pastaza</t>
  </si>
  <si>
    <t>* Núcleos familiares reportados por entrega; no son núcleos familiares únicos. Cada entrega, en la hoja Entregas Kobo.</t>
  </si>
  <si>
    <t>Cada entrega de kits</t>
  </si>
  <si>
    <t>89 entregas registradas en Kobo</t>
  </si>
  <si>
    <t>Kits en provincias priorizadas: Kobo, corte 26/10/2026, 22:26:42. Entregas del 31/08 al 26/10; incluye fechas anteriores al inicio de las alertas. Reemplaza el corte anterior. Núcleos familiares reportados: suma por entrega, no núcleos únicos. El total de kits de este corte fue confirmado oficialmente.</t>
  </si>
  <si>
    <t>Kits acumulados</t>
  </si>
  <si>
    <t>ID Kobo</t>
  </si>
  <si>
    <t>Tulcán</t>
  </si>
  <si>
    <t>901551778</t>
  </si>
  <si>
    <t>Ambato</t>
  </si>
  <si>
    <t>901550651</t>
  </si>
  <si>
    <t>901552756</t>
  </si>
  <si>
    <t>Latacunga</t>
  </si>
  <si>
    <t>901564587</t>
  </si>
  <si>
    <t>San Miguel de los Bancos</t>
  </si>
  <si>
    <t>901551065</t>
  </si>
  <si>
    <t>Pedro Vicente Maldonado</t>
  </si>
  <si>
    <t>901557320</t>
  </si>
  <si>
    <t>Rumiñahui</t>
  </si>
  <si>
    <t>901553792</t>
  </si>
  <si>
    <t>Distrito Metropolitano de Quito</t>
  </si>
  <si>
    <t>901555281</t>
  </si>
  <si>
    <t>901564540</t>
  </si>
  <si>
    <t>901565225</t>
  </si>
  <si>
    <t>901566792</t>
  </si>
  <si>
    <t>901556230</t>
  </si>
  <si>
    <t>901555574</t>
  </si>
  <si>
    <t>901557880</t>
  </si>
  <si>
    <t>901567356</t>
  </si>
  <si>
    <t>901562908</t>
  </si>
  <si>
    <t>901552833</t>
  </si>
  <si>
    <t>901560462</t>
  </si>
  <si>
    <t>Salitre</t>
  </si>
  <si>
    <t>901576248</t>
  </si>
  <si>
    <t>Mira</t>
  </si>
  <si>
    <t>901553593</t>
  </si>
  <si>
    <t>Muisne</t>
  </si>
  <si>
    <t>901542208</t>
  </si>
  <si>
    <t>901579821</t>
  </si>
  <si>
    <t>901573492</t>
  </si>
  <si>
    <t>901550793</t>
  </si>
  <si>
    <t>901572601</t>
  </si>
  <si>
    <t>Camilo Ponce Enríquez</t>
  </si>
  <si>
    <t>901592080</t>
  </si>
  <si>
    <t>Riobamba</t>
  </si>
  <si>
    <t>901536493</t>
  </si>
  <si>
    <t>Santa Ana</t>
  </si>
  <si>
    <t>901539658</t>
  </si>
  <si>
    <t>901552094</t>
  </si>
  <si>
    <t>Quinindé</t>
  </si>
  <si>
    <t>901545837</t>
  </si>
  <si>
    <t>901566395</t>
  </si>
  <si>
    <t>901554707</t>
  </si>
  <si>
    <t>901559100</t>
  </si>
  <si>
    <t>901561720</t>
  </si>
  <si>
    <t>901555267</t>
  </si>
  <si>
    <t>901549885</t>
  </si>
  <si>
    <t>Ibarra</t>
  </si>
  <si>
    <t>901581205</t>
  </si>
  <si>
    <t>Eloy Alfaro</t>
  </si>
  <si>
    <t>901544659</t>
  </si>
  <si>
    <t>901567706</t>
  </si>
  <si>
    <t>901571302</t>
  </si>
  <si>
    <t>901540327</t>
  </si>
  <si>
    <t>901547586</t>
  </si>
  <si>
    <t>901557200</t>
  </si>
  <si>
    <t>Las Naves</t>
  </si>
  <si>
    <t>901507614</t>
  </si>
  <si>
    <t>901543240</t>
  </si>
  <si>
    <t>901556593</t>
  </si>
  <si>
    <t>901554036</t>
  </si>
  <si>
    <t>901583657</t>
  </si>
  <si>
    <t>901555799</t>
  </si>
  <si>
    <t>Cuenca</t>
  </si>
  <si>
    <t>901587375</t>
  </si>
  <si>
    <t>Espíndola</t>
  </si>
  <si>
    <t>901517296</t>
  </si>
  <si>
    <t>901585831</t>
  </si>
  <si>
    <t>Centinela del Cóndor</t>
  </si>
  <si>
    <t>901560279</t>
  </si>
  <si>
    <t>Babahoyo</t>
  </si>
  <si>
    <t>901546105</t>
  </si>
  <si>
    <t>Tena</t>
  </si>
  <si>
    <t>901583474</t>
  </si>
  <si>
    <t>901584975</t>
  </si>
  <si>
    <t>La Libertad</t>
  </si>
  <si>
    <t>901568692</t>
  </si>
  <si>
    <t>Oña</t>
  </si>
  <si>
    <t>901581829</t>
  </si>
  <si>
    <t>Shushufindi</t>
  </si>
  <si>
    <t>901583940</t>
  </si>
  <si>
    <t>901557017</t>
  </si>
  <si>
    <t>Mera</t>
  </si>
  <si>
    <t>901561745</t>
  </si>
  <si>
    <t>901562262</t>
  </si>
  <si>
    <t>Pindal</t>
  </si>
  <si>
    <t>901513499</t>
  </si>
  <si>
    <t>Archidona</t>
  </si>
  <si>
    <t>901584802</t>
  </si>
  <si>
    <t>901578515</t>
  </si>
  <si>
    <t>901568941</t>
  </si>
  <si>
    <t>901568044</t>
  </si>
  <si>
    <t>901584335</t>
  </si>
  <si>
    <t>Santo Domingo</t>
  </si>
  <si>
    <t>901577508</t>
  </si>
  <si>
    <t>El Pangui</t>
  </si>
  <si>
    <t>901560779</t>
  </si>
  <si>
    <t>901558414</t>
  </si>
  <si>
    <t>901556545</t>
  </si>
  <si>
    <t>901550693</t>
  </si>
  <si>
    <t>901580384</t>
  </si>
  <si>
    <t>901522010</t>
  </si>
  <si>
    <t>901558042</t>
  </si>
  <si>
    <t>Palestina</t>
  </si>
  <si>
    <t>901581046</t>
  </si>
  <si>
    <t>901559224</t>
  </si>
  <si>
    <t>901505118</t>
  </si>
  <si>
    <t>Portoviejo</t>
  </si>
  <si>
    <t>901542091</t>
  </si>
  <si>
    <t>901542544</t>
  </si>
  <si>
    <t>Quilanga</t>
  </si>
  <si>
    <t>901516522</t>
  </si>
  <si>
    <t>901528037</t>
  </si>
  <si>
    <t>901571868</t>
  </si>
  <si>
    <t>901588163</t>
  </si>
  <si>
    <t>901588943</t>
  </si>
  <si>
    <t>901589658</t>
  </si>
  <si>
    <t>901590720</t>
  </si>
  <si>
    <t>901553284</t>
  </si>
  <si>
    <t>Bono de contingencia</t>
  </si>
  <si>
    <t>Por provincia (inundaciones)</t>
  </si>
  <si>
    <t>Pagos gestionados desde el 29/08/2026 · articulación al 23/10/2026</t>
  </si>
  <si>
    <t>Pago gestionado (núcleos familiares)</t>
  </si>
  <si>
    <t>En articulación (personas)</t>
  </si>
  <si>
    <t>Monto gestionado (USD)</t>
  </si>
  <si>
    <t>Monto en articulación (USD)</t>
  </si>
  <si>
    <t>Planificación El Niño 2026–2027</t>
  </si>
  <si>
    <t>Proyección nacional · planificación, no ejecución</t>
  </si>
  <si>
    <t>Personas potenciales</t>
  </si>
  <si>
    <t>Núcleos familiares potenciales</t>
  </si>
  <si>
    <t>Inversión estimada</t>
  </si>
  <si>
    <t>Acciones del Ministerio en cada provincia</t>
  </si>
  <si>
    <t>20 provincias con acciones · kits y bono de contingencia</t>
  </si>
  <si>
    <t>Cada acción conserva su unidad; no se suman entre sí</t>
  </si>
  <si>
    <t>Cantones</t>
  </si>
  <si>
    <t>Bono gestionado (núcleos familiares)</t>
  </si>
  <si>
    <t>Camilo Ponce Enríquez, Cuenca, Oña</t>
  </si>
  <si>
    <t>Bolívar, Mira, Tulcán</t>
  </si>
  <si>
    <t>El Guabo, Pasaje</t>
  </si>
  <si>
    <t>Eloy Alfaro, Esmeraldas, Muisne, Quinindé</t>
  </si>
  <si>
    <t>Guayaquil, Milagro, Palestina, Salitre</t>
  </si>
  <si>
    <t>Espíndola, Loja, Pindal, Quilanga</t>
  </si>
  <si>
    <t>Flavio Alfaro, Pichincha, Portoviejo, Santa Ana</t>
  </si>
  <si>
    <t>Archidona, Tena</t>
  </si>
  <si>
    <t>Mera, Pastaza</t>
  </si>
  <si>
    <t>Distrito Metropolitano de Quito, Pedro Vicente Maldonado, Rumiñahui, San Miguel de los Bancos</t>
  </si>
  <si>
    <t>La Libertad, Salinas</t>
  </si>
  <si>
    <t>Centinela del Cóndor, El Pangui</t>
  </si>
  <si>
    <t>Nota metodológica y fuentes</t>
  </si>
  <si>
    <t>Seguimiento</t>
  </si>
  <si>
    <t>Territorio</t>
  </si>
  <si>
    <t>Nacional</t>
  </si>
  <si>
    <t>Servicios</t>
  </si>
  <si>
    <t>Todos los servicios</t>
  </si>
  <si>
    <t>Fuentes</t>
  </si>
  <si>
    <t>Subsecretaría Territorial (análisis de alertas); corte Kobo de kits; ayuda memoria del bono de contingencia; base territorial de afectaciones por lluvias.</t>
  </si>
  <si>
    <t>Conteo</t>
  </si>
  <si>
    <t>Geoportal</t>
  </si>
  <si>
    <t>https://geoportal.trabajo.gob.ec/ua_amenazas</t>
  </si>
  <si>
    <t>Continuidad de atención</t>
  </si>
  <si>
    <t>Alertas</t>
  </si>
  <si>
    <t>Se muestran únicamente alertas revisadas con código UA registrado, desde el 14 de septiembre de 2026. El conteo corresponde a códigos de alerta distintos vinculados a unidades identificadas. Los registros sin código quedan fuera de este alcance. La fecha corresponde al registro y una alerta no equivale necesariamente a un evento único. El campo Afectados mezcla personas, familias y usuarios; no se suma como personas únicas. La base no certifica atribución causal a ENOS.</t>
  </si>
  <si>
    <t>La ayuda memoria no identifica pagos exclusivamente atribuibles a ENOS ni fechas individuales para recortar desde el 14/09. Se muestran únicamente las filas de inundación como referencia: pagos gestionados desde el 29/08 y casos en articulación al 23/10. Articulación no equivale a pago. Las proyecciones corresponden a planificación nacional 2026–2027.</t>
  </si>
  <si>
    <t>Filtros</t>
  </si>
  <si>
    <t>El territorio se aplica a todas las acciones; el servicio, a las alertas y al seguimiento de continuidad de atención. Kits y bono no se asocian a un servicio. La planificación del bono es nacional.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</si>
</sst>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&quot;USD &quot;#,##0.00"/>
    <numFmt numFmtId="166" formatCode="0.0%"/>
    <numFmt numFmtId="167" formatCode="dd/mm/yyyy"/>
    <numFmt numFmtId="168" formatCode="#,##0;-#,##0;&quot;—&quot;"/>
    <numFmt numFmtId="169" formatCode="#,##0.00;-#,##0.00;&quot;—&quot;"/>
  </numFmts>
  <fonts count="22">
    <font>
      <sz val="11"/>
      <color theme="1"/>
      <name val="Calibri"/>
      <family val="2"/>
      <scheme val="minor"/>
    </font>
    <font>
      <sz val="10.5"/>
      <color rgb="FF20202B"/>
      <name val="Calibri"/>
      <family val="2"/>
      <scheme val="minor"/>
    </font>
    <font>
      <b/>
      <sz val="20"/>
      <color rgb="FFFFFFFF"/>
      <name val="Century Gothic"/>
      <family val="2"/>
    </font>
    <font>
      <sz val="10"/>
      <color rgb="FFE4DBF3"/>
      <name val="Calibri"/>
      <family val="2"/>
      <scheme val="minor"/>
    </font>
    <font>
      <sz val="9"/>
      <color rgb="FFFFE7A3"/>
      <name val="Calibri"/>
      <family val="2"/>
      <scheme val="minor"/>
    </font>
    <font>
      <b/>
      <sz val="13"/>
      <color rgb="FF2B164F"/>
      <name val="Century Gothic"/>
      <family val="2"/>
    </font>
    <font>
      <i/>
      <sz val="9"/>
      <color rgb="FF6E6880"/>
      <name val="Calibri"/>
      <family val="2"/>
      <scheme val="minor"/>
    </font>
    <font>
      <b/>
      <sz val="9.5"/>
      <color rgb="FF5A5765"/>
      <name val="Calibri"/>
      <family val="2"/>
      <scheme val="minor"/>
    </font>
    <font>
      <b/>
      <sz val="22"/>
      <color rgb="FF2B164F"/>
      <name val="Century Gothic"/>
      <family val="2"/>
    </font>
    <font>
      <sz val="9"/>
      <color rgb="FF6E6880"/>
      <name val="Calibri"/>
      <family val="2"/>
      <scheme val="minor"/>
    </font>
    <font>
      <b/>
      <sz val="10.5"/>
      <color rgb="FF2B164F"/>
      <name val="Century Gothic"/>
      <family val="2"/>
    </font>
    <font>
      <b/>
      <sz val="9"/>
      <color rgb="FFFFFFFF"/>
      <name val="Century Gothic"/>
      <family val="2"/>
    </font>
    <font>
      <b/>
      <sz val="10.5"/>
      <color rgb="FF2B164F"/>
      <name val="Calibri"/>
      <family val="2"/>
      <scheme val="minor"/>
    </font>
    <font>
      <sz val="10.5"/>
      <color rgb="FF20202B"/>
      <name val="Calibri"/>
      <family val="2"/>
      <scheme val="minor"/>
    </font>
    <font>
      <b/>
      <sz val="10.5"/>
      <color rgb="FF20202B"/>
      <name val="Calibri"/>
      <family val="2"/>
      <scheme val="minor"/>
    </font>
    <font>
      <sz val="10.5"/>
      <color rgb="FF6E6880"/>
      <name val="Calibri"/>
      <family val="2"/>
      <scheme val="minor"/>
    </font>
    <font>
      <sz val="9.5"/>
      <color rgb="FF5A5765"/>
      <name val="Calibri"/>
      <family val="2"/>
      <scheme val="minor"/>
    </font>
    <font>
      <sz val="9.5"/>
      <color rgb="FF3D216D"/>
      <name val="Calibri"/>
      <family val="2"/>
      <scheme val="minor"/>
    </font>
    <font>
      <b/>
      <sz val="10.5"/>
      <color rgb="FF5A5765"/>
      <name val="Calibri"/>
      <family val="2"/>
      <scheme val="minor"/>
    </font>
    <font>
      <b/>
      <sz val="15"/>
      <color rgb="FF2B164F"/>
      <name val="Century Gothic"/>
      <family val="2"/>
    </font>
    <font>
      <b/>
      <sz val="10.5"/>
      <color rgb="FF512F8D"/>
      <name val="Calibri"/>
      <family val="2"/>
      <scheme val="minor"/>
    </font>
    <font>
      <sz val="10"/>
      <color rgb="FF20202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12F8D"/>
        <bgColor indexed="64"/>
      </patternFill>
    </fill>
    <fill>
      <patternFill patternType="solid">
        <fgColor rgb="FFF8C018"/>
        <bgColor indexed="64"/>
      </patternFill>
    </fill>
    <fill>
      <patternFill patternType="solid">
        <fgColor rgb="FFF7F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5F3"/>
        <bgColor indexed="64"/>
      </patternFill>
    </fill>
    <fill>
      <patternFill patternType="solid">
        <fgColor rgb="FFF1EDFA"/>
        <bgColor indexed="64"/>
      </patternFill>
    </fill>
    <fill>
      <patternFill patternType="solid">
        <fgColor rgb="FFFDF5DB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C1B4EC"/>
      </bottom>
      <diagonal/>
    </border>
    <border>
      <left/>
      <right/>
      <top style="thick">
        <color rgb="FFF8C018"/>
      </top>
      <bottom/>
      <diagonal/>
    </border>
    <border>
      <left/>
      <right/>
      <top style="thick">
        <color rgb="FF7657B9"/>
      </top>
      <bottom/>
      <diagonal/>
    </border>
    <border>
      <left/>
      <right/>
      <top style="thick">
        <color rgb="FFA995E0"/>
      </top>
      <bottom/>
      <diagonal/>
    </border>
    <border>
      <left/>
      <right/>
      <top style="thick">
        <color rgb="FF512F8D"/>
      </top>
      <bottom/>
      <diagonal/>
    </border>
    <border>
      <left/>
      <right/>
      <top style="thick">
        <color rgb="FFC33F8D"/>
      </top>
      <bottom/>
      <diagonal/>
    </border>
    <border>
      <left style="thin">
        <color rgb="FF7458AE"/>
      </left>
      <right/>
      <top/>
      <bottom/>
      <diagonal/>
    </border>
    <border>
      <left/>
      <right/>
      <top/>
      <bottom style="hair">
        <color rgb="FFE7E2EF"/>
      </bottom>
      <diagonal/>
    </border>
    <border>
      <left/>
      <right/>
      <top style="medium">
        <color rgb="FF512F8D"/>
      </top>
      <bottom/>
      <diagonal/>
    </border>
    <border>
      <left/>
      <right/>
      <top style="medium">
        <color rgb="FF512F8D"/>
      </top>
      <bottom style="hair">
        <color rgb="FFE7E2EF"/>
      </bottom>
      <diagonal/>
    </border>
    <border>
      <left style="thick">
        <color rgb="FF512F8D"/>
      </left>
      <right/>
      <top/>
      <bottom/>
      <diagonal/>
    </border>
    <border>
      <left style="thick">
        <color rgb="FFF8C018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3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 indent="1" wrapText="1"/>
    </xf>
    <xf numFmtId="0" fontId="7" fillId="4" borderId="3" xfId="0" applyFont="1" applyFill="1" applyBorder="1" applyAlignment="1">
      <alignment horizontal="left" vertical="center" indent="1" wrapText="1"/>
    </xf>
    <xf numFmtId="0" fontId="7" fillId="4" borderId="4" xfId="0" applyFont="1" applyFill="1" applyBorder="1" applyAlignment="1">
      <alignment horizontal="left" vertical="center" indent="1" wrapText="1"/>
    </xf>
    <xf numFmtId="0" fontId="7" fillId="4" borderId="5" xfId="0" applyFont="1" applyFill="1" applyBorder="1" applyAlignment="1">
      <alignment horizontal="left" vertical="center" indent="1" wrapText="1"/>
    </xf>
    <xf numFmtId="0" fontId="7" fillId="4" borderId="6" xfId="0" applyFont="1" applyFill="1" applyBorder="1" applyAlignment="1">
      <alignment horizontal="left" vertical="center" indent="1" wrapText="1"/>
    </xf>
    <xf numFmtId="164" fontId="8" fillId="4" borderId="0" xfId="0" applyNumberFormat="1" applyFont="1" applyFill="1" applyAlignment="1">
      <alignment horizontal="left" vertical="center" indent="1" shrinkToFit="1"/>
    </xf>
    <xf numFmtId="0" fontId="1" fillId="4" borderId="0" xfId="0" applyFont="1" applyFill="1" applyAlignment="1">
      <alignment vertical="center"/>
    </xf>
    <xf numFmtId="165" fontId="8" fillId="4" borderId="0" xfId="0" applyNumberFormat="1" applyFont="1" applyFill="1" applyAlignment="1">
      <alignment horizontal="left" vertical="center" indent="1" shrinkToFit="1"/>
    </xf>
    <xf numFmtId="0" fontId="9" fillId="4" borderId="0" xfId="0" applyFont="1" applyFill="1" applyAlignment="1">
      <alignment vertical="top" indent="1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 indent="1" wrapText="1"/>
    </xf>
    <xf numFmtId="0" fontId="11" fillId="2" borderId="7" xfId="0" applyFont="1" applyFill="1" applyBorder="1" applyAlignment="1">
      <alignment horizontal="right" vertical="center" wrapText="1"/>
    </xf>
    <xf numFmtId="0" fontId="12" fillId="5" borderId="8" xfId="0" applyFont="1" applyFill="1" applyBorder="1" applyAlignment="1">
      <alignment horizontal="left" vertical="center" indent="1" wrapText="1"/>
    </xf>
    <xf numFmtId="164" fontId="13" fillId="5" borderId="8" xfId="0" applyNumberFormat="1" applyFont="1" applyFill="1" applyBorder="1" applyAlignment="1">
      <alignment horizontal="right" vertical="center"/>
    </xf>
    <xf numFmtId="166" fontId="13" fillId="5" borderId="8" xfId="0" applyNumberFormat="1" applyFont="1" applyFill="1" applyBorder="1" applyAlignment="1">
      <alignment horizontal="right" vertical="center"/>
    </xf>
    <xf numFmtId="0" fontId="12" fillId="4" borderId="8" xfId="0" applyFont="1" applyFill="1" applyBorder="1" applyAlignment="1">
      <alignment horizontal="left" vertical="center" indent="1" wrapText="1"/>
    </xf>
    <xf numFmtId="164" fontId="13" fillId="4" borderId="8" xfId="0" applyNumberFormat="1" applyFont="1" applyFill="1" applyBorder="1" applyAlignment="1">
      <alignment horizontal="right" vertical="center"/>
    </xf>
    <xf numFmtId="166" fontId="13" fillId="4" borderId="8" xfId="0" applyNumberFormat="1" applyFont="1" applyFill="1" applyBorder="1" applyAlignment="1">
      <alignment horizontal="right" vertical="center"/>
    </xf>
    <xf numFmtId="0" fontId="12" fillId="6" borderId="9" xfId="0" applyFont="1" applyFill="1" applyBorder="1" applyAlignment="1">
      <alignment horizontal="left" vertical="center" indent="1"/>
    </xf>
    <xf numFmtId="164" fontId="14" fillId="6" borderId="10" xfId="0" applyNumberFormat="1" applyFont="1" applyFill="1" applyBorder="1" applyAlignment="1">
      <alignment horizontal="right" vertical="center"/>
    </xf>
    <xf numFmtId="166" fontId="14" fillId="6" borderId="1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 indent="1" wrapText="1"/>
    </xf>
    <xf numFmtId="0" fontId="11" fillId="2" borderId="7" xfId="0" applyFont="1" applyFill="1" applyBorder="1" applyAlignment="1">
      <alignment horizontal="left" vertical="center" indent="1" wrapText="1"/>
    </xf>
    <xf numFmtId="0" fontId="1" fillId="5" borderId="8" xfId="0" applyFont="1" applyFill="1" applyBorder="1" applyAlignment="1">
      <alignment horizontal="left" vertical="center" indent="1" wrapText="1"/>
    </xf>
    <xf numFmtId="0" fontId="1" fillId="4" borderId="8" xfId="0" applyFont="1" applyFill="1" applyBorder="1" applyAlignment="1">
      <alignment horizontal="left" vertical="center" indent="1" wrapText="1"/>
    </xf>
    <xf numFmtId="0" fontId="1" fillId="6" borderId="9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 vertical="center" wrapText="1"/>
    </xf>
    <xf numFmtId="167" fontId="1" fillId="5" borderId="8" xfId="0" applyNumberFormat="1" applyFont="1" applyFill="1" applyBorder="1" applyAlignment="1">
      <alignment horizontal="left" vertical="center" indent="1"/>
    </xf>
    <xf numFmtId="0" fontId="15" fillId="5" borderId="8" xfId="0" applyFont="1" applyFill="1" applyBorder="1" applyAlignment="1">
      <alignment horizontal="center" vertical="center"/>
    </xf>
    <xf numFmtId="167" fontId="1" fillId="4" borderId="8" xfId="0" applyNumberFormat="1" applyFont="1" applyFill="1" applyBorder="1" applyAlignment="1">
      <alignment horizontal="left" vertical="center" indent="1"/>
    </xf>
    <xf numFmtId="0" fontId="15" fillId="4" borderId="8" xfId="0" applyFont="1" applyFill="1" applyBorder="1" applyAlignment="1">
      <alignment horizontal="center" vertical="center"/>
    </xf>
    <xf numFmtId="167" fontId="12" fillId="5" borderId="8" xfId="0" applyNumberFormat="1" applyFont="1" applyFill="1" applyBorder="1" applyAlignment="1">
      <alignment horizontal="left" vertical="center" indent="1"/>
    </xf>
    <xf numFmtId="167" fontId="12" fillId="4" borderId="8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vertical="top" wrapText="1"/>
    </xf>
    <xf numFmtId="0" fontId="17" fillId="7" borderId="11" xfId="0" applyFont="1" applyFill="1" applyBorder="1" applyAlignment="1">
      <alignment horizontal="left" vertical="center" indent="1" wrapText="1"/>
    </xf>
    <xf numFmtId="168" fontId="13" fillId="5" borderId="8" xfId="0" applyNumberFormat="1" applyFont="1" applyFill="1" applyBorder="1" applyAlignment="1">
      <alignment horizontal="right" vertical="center"/>
    </xf>
    <xf numFmtId="169" fontId="13" fillId="5" borderId="8" xfId="0" applyNumberFormat="1" applyFont="1" applyFill="1" applyBorder="1" applyAlignment="1">
      <alignment horizontal="right" vertical="center"/>
    </xf>
    <xf numFmtId="168" fontId="13" fillId="4" borderId="8" xfId="0" applyNumberFormat="1" applyFont="1" applyFill="1" applyBorder="1" applyAlignment="1">
      <alignment horizontal="right" vertical="center"/>
    </xf>
    <xf numFmtId="169" fontId="13" fillId="4" borderId="8" xfId="0" applyNumberFormat="1" applyFont="1" applyFill="1" applyBorder="1" applyAlignment="1">
      <alignment horizontal="right" vertical="center"/>
    </xf>
    <xf numFmtId="168" fontId="14" fillId="6" borderId="10" xfId="0" applyNumberFormat="1" applyFont="1" applyFill="1" applyBorder="1" applyAlignment="1">
      <alignment horizontal="right" vertical="center"/>
    </xf>
    <xf numFmtId="169" fontId="14" fillId="6" borderId="10" xfId="0" applyNumberFormat="1" applyFont="1" applyFill="1" applyBorder="1" applyAlignment="1">
      <alignment horizontal="right" vertical="center"/>
    </xf>
    <xf numFmtId="0" fontId="18" fillId="8" borderId="12" xfId="0" applyFont="1" applyFill="1" applyBorder="1" applyAlignment="1">
      <alignment horizontal="left" vertical="center" indent="1"/>
    </xf>
    <xf numFmtId="164" fontId="19" fillId="8" borderId="0" xfId="0" applyNumberFormat="1" applyFont="1" applyFill="1" applyAlignment="1">
      <alignment horizontal="right" vertical="center" indent="1"/>
    </xf>
    <xf numFmtId="0" fontId="1" fillId="8" borderId="0" xfId="0" applyFont="1" applyFill="1" applyAlignment="1">
      <alignment vertical="center"/>
    </xf>
    <xf numFmtId="165" fontId="19" fillId="8" borderId="0" xfId="0" applyNumberFormat="1" applyFont="1" applyFill="1" applyAlignment="1">
      <alignment horizontal="right" vertical="center" indent="1"/>
    </xf>
    <xf numFmtId="0" fontId="20" fillId="7" borderId="0" xfId="0" applyFont="1" applyFill="1" applyAlignment="1">
      <alignment vertical="top" wrapText="1"/>
    </xf>
    <xf numFmtId="0" fontId="2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UA suspendidas por servicio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UA suspendidas</c:v>
          </c:tx>
          <c:dPt>
            <c:idx val="0"/>
            <c:spPr>
              <a:solidFill>
                <a:srgbClr val="A995E0"/>
              </a:solidFill>
              <a:ln w="317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512F8D"/>
              </a:solidFill>
              <a:ln w="31750">
                <a:solidFill>
                  <a:srgbClr val="FFFFFF"/>
                </a:solidFill>
              </a:ln>
            </c:spPr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1" baseline="0">
                      <a:solidFill>
                        <a:srgbClr val="2B164F"/>
                      </a:solidFill>
                      <a:latin typeface="Calibri"/>
                    </a:defRPr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>
                    <a:defRPr sz="1000" b="1" baseline="0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  <c:showPercent val="1"/>
            <c:separator>
</c:separator>
          </c:dLbls>
          <c:cat>
            <c:strRef>
              <c:f>Resumen!$B$18:$B$19</c:f>
              <c:strCache>
                <c:ptCount val="2"/>
                <c:pt idx="0">
                  <c:v>CNH</c:v>
                </c:pt>
                <c:pt idx="1">
                  <c:v>CDI</c:v>
                </c:pt>
              </c:strCache>
            </c:strRef>
          </c:cat>
          <c:val>
            <c:numRef>
              <c:f>Resumen!$E$18:$E$19</c:f>
              <c:numCache>
                <c:formatCode>General</c:formatCode>
                <c:ptCount val="2"/>
                <c:pt idx="0">
                  <c:v>64</c:v>
                </c:pt>
                <c:pt idx="1">
                  <c:v>35</c:v>
                </c:pt>
              </c:numCache>
            </c:numRef>
          </c:val>
        </c:ser>
        <c:firstSliceAng val="0"/>
        <c:holeSize val="55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20202B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Alertas registradas cada día y acumuladas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Registradas en el día</c:v>
          </c:tx>
          <c:spPr>
            <a:solidFill>
              <a:srgbClr val="F8C018"/>
            </a:solidFill>
            <a:ln>
              <a:noFill/>
            </a:ln>
          </c:spPr>
          <c:dLbls>
            <c:numFmt formatCode="#,##0;-#,##0;&quot;&quot;" sourceLinked="0"/>
            <c:txPr>
              <a:bodyPr/>
              <a:lstStyle/>
              <a:p>
                <a:pPr>
                  <a:defRPr sz="850" b="1" baseline="0">
                    <a:solidFill>
                      <a:srgbClr val="B07A0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Evolución!$B$9:$B$51</c:f>
              <c:numCache>
                <c:formatCode>General</c:formatCode>
                <c:ptCount val="43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46305</c:v>
                </c:pt>
                <c:pt idx="27">
                  <c:v>46306</c:v>
                </c:pt>
                <c:pt idx="28">
                  <c:v>46307</c:v>
                </c:pt>
                <c:pt idx="29">
                  <c:v>46308</c:v>
                </c:pt>
                <c:pt idx="30">
                  <c:v>46309</c:v>
                </c:pt>
                <c:pt idx="31">
                  <c:v>46310</c:v>
                </c:pt>
                <c:pt idx="32">
                  <c:v>46311</c:v>
                </c:pt>
                <c:pt idx="33">
                  <c:v>46312</c:v>
                </c:pt>
                <c:pt idx="34">
                  <c:v>46313</c:v>
                </c:pt>
                <c:pt idx="35">
                  <c:v>46314</c:v>
                </c:pt>
                <c:pt idx="36">
                  <c:v>46315</c:v>
                </c:pt>
                <c:pt idx="37">
                  <c:v>46316</c:v>
                </c:pt>
                <c:pt idx="38">
                  <c:v>46317</c:v>
                </c:pt>
                <c:pt idx="39">
                  <c:v>46318</c:v>
                </c:pt>
                <c:pt idx="40">
                  <c:v>46319</c:v>
                </c:pt>
                <c:pt idx="41">
                  <c:v>46320</c:v>
                </c:pt>
                <c:pt idx="42">
                  <c:v>46321</c:v>
                </c:pt>
              </c:numCache>
            </c:numRef>
          </c:cat>
          <c:val>
            <c:numRef>
              <c:f>Evolución!$C$9:$C$51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</c:ser>
        <c:gapWidth val="40"/>
        <c:axId val="50020001"/>
        <c:axId val="50020002"/>
      </c:barChart>
      <c:lineChart>
        <c:grouping val="standard"/>
        <c:ser>
          <c:idx val="1"/>
          <c:order val="1"/>
          <c:tx>
            <c:v>Acumuladas</c:v>
          </c:tx>
          <c:spPr>
            <a:ln w="28575">
              <a:solidFill>
                <a:srgbClr val="512F8D"/>
              </a:solidFill>
            </a:ln>
          </c:spPr>
          <c:marker>
            <c:symbol val="none"/>
          </c:marker>
          <c:cat>
            <c:numRef>
              <c:f>Evolución!$B$9:$B$51</c:f>
              <c:numCache>
                <c:formatCode>General</c:formatCode>
                <c:ptCount val="43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46305</c:v>
                </c:pt>
                <c:pt idx="27">
                  <c:v>46306</c:v>
                </c:pt>
                <c:pt idx="28">
                  <c:v>46307</c:v>
                </c:pt>
                <c:pt idx="29">
                  <c:v>46308</c:v>
                </c:pt>
                <c:pt idx="30">
                  <c:v>46309</c:v>
                </c:pt>
                <c:pt idx="31">
                  <c:v>46310</c:v>
                </c:pt>
                <c:pt idx="32">
                  <c:v>46311</c:v>
                </c:pt>
                <c:pt idx="33">
                  <c:v>46312</c:v>
                </c:pt>
                <c:pt idx="34">
                  <c:v>46313</c:v>
                </c:pt>
                <c:pt idx="35">
                  <c:v>46314</c:v>
                </c:pt>
                <c:pt idx="36">
                  <c:v>46315</c:v>
                </c:pt>
                <c:pt idx="37">
                  <c:v>46316</c:v>
                </c:pt>
                <c:pt idx="38">
                  <c:v>46317</c:v>
                </c:pt>
                <c:pt idx="39">
                  <c:v>46318</c:v>
                </c:pt>
                <c:pt idx="40">
                  <c:v>46319</c:v>
                </c:pt>
                <c:pt idx="41">
                  <c:v>46320</c:v>
                </c:pt>
                <c:pt idx="42">
                  <c:v>46321</c:v>
                </c:pt>
              </c:numCache>
            </c:numRef>
          </c:cat>
          <c:val>
            <c:numRef>
              <c:f>Evolución!$D$9:$D$51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  <c:max val="46321.0"/>
          <c:min val="46279.0"/>
        </c:scaling>
        <c:axPos val="b"/>
        <c:numFmt formatCode="dd/mm" sourceLinked="0"/>
        <c:majorTickMark val="none"/>
        <c:tickLblPos val="nextTo"/>
        <c:spPr>
          <a:ln>
            <a:solidFill>
              <a:srgbClr val="D8D0F4"/>
            </a:solidFill>
          </a:ln>
        </c:spPr>
        <c:txPr>
          <a:bodyPr rot="0" vert="horz"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  <c:min val="0"/>
        </c:scaling>
        <c:axPos val="l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solidFill>
                <a:srgbClr val="20202B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Alertas registradas cada día y acumuladas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Registradas en el día</c:v>
          </c:tx>
          <c:spPr>
            <a:solidFill>
              <a:srgbClr val="F8C018"/>
            </a:solidFill>
            <a:ln>
              <a:noFill/>
            </a:ln>
          </c:spPr>
          <c:dLbls>
            <c:numFmt formatCode="#,##0;-#,##0;&quot;&quot;" sourceLinked="0"/>
            <c:txPr>
              <a:bodyPr/>
              <a:lstStyle/>
              <a:p>
                <a:pPr>
                  <a:defRPr sz="850" b="1" baseline="0">
                    <a:solidFill>
                      <a:srgbClr val="B07A0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Evolución!$B$9:$B$51</c:f>
              <c:numCache>
                <c:formatCode>General</c:formatCode>
                <c:ptCount val="43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46305</c:v>
                </c:pt>
                <c:pt idx="27">
                  <c:v>46306</c:v>
                </c:pt>
                <c:pt idx="28">
                  <c:v>46307</c:v>
                </c:pt>
                <c:pt idx="29">
                  <c:v>46308</c:v>
                </c:pt>
                <c:pt idx="30">
                  <c:v>46309</c:v>
                </c:pt>
                <c:pt idx="31">
                  <c:v>46310</c:v>
                </c:pt>
                <c:pt idx="32">
                  <c:v>46311</c:v>
                </c:pt>
                <c:pt idx="33">
                  <c:v>46312</c:v>
                </c:pt>
                <c:pt idx="34">
                  <c:v>46313</c:v>
                </c:pt>
                <c:pt idx="35">
                  <c:v>46314</c:v>
                </c:pt>
                <c:pt idx="36">
                  <c:v>46315</c:v>
                </c:pt>
                <c:pt idx="37">
                  <c:v>46316</c:v>
                </c:pt>
                <c:pt idx="38">
                  <c:v>46317</c:v>
                </c:pt>
                <c:pt idx="39">
                  <c:v>46318</c:v>
                </c:pt>
                <c:pt idx="40">
                  <c:v>46319</c:v>
                </c:pt>
                <c:pt idx="41">
                  <c:v>46320</c:v>
                </c:pt>
                <c:pt idx="42">
                  <c:v>46321</c:v>
                </c:pt>
              </c:numCache>
            </c:numRef>
          </c:cat>
          <c:val>
            <c:numRef>
              <c:f>Evolución!$C$9:$C$51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</c:ser>
        <c:gapWidth val="40"/>
        <c:axId val="50030001"/>
        <c:axId val="50030002"/>
      </c:barChart>
      <c:lineChart>
        <c:grouping val="standard"/>
        <c:ser>
          <c:idx val="1"/>
          <c:order val="1"/>
          <c:tx>
            <c:v>Acumuladas</c:v>
          </c:tx>
          <c:spPr>
            <a:ln w="28575">
              <a:solidFill>
                <a:srgbClr val="512F8D"/>
              </a:solidFill>
            </a:ln>
          </c:spPr>
          <c:marker>
            <c:symbol val="none"/>
          </c:marker>
          <c:cat>
            <c:numRef>
              <c:f>Evolución!$B$9:$B$51</c:f>
              <c:numCache>
                <c:formatCode>General</c:formatCode>
                <c:ptCount val="43"/>
                <c:pt idx="0">
                  <c:v>46279</c:v>
                </c:pt>
                <c:pt idx="1">
                  <c:v>46280</c:v>
                </c:pt>
                <c:pt idx="2">
                  <c:v>46281</c:v>
                </c:pt>
                <c:pt idx="3">
                  <c:v>46282</c:v>
                </c:pt>
                <c:pt idx="4">
                  <c:v>46283</c:v>
                </c:pt>
                <c:pt idx="5">
                  <c:v>46284</c:v>
                </c:pt>
                <c:pt idx="6">
                  <c:v>46285</c:v>
                </c:pt>
                <c:pt idx="7">
                  <c:v>46286</c:v>
                </c:pt>
                <c:pt idx="8">
                  <c:v>46287</c:v>
                </c:pt>
                <c:pt idx="9">
                  <c:v>46288</c:v>
                </c:pt>
                <c:pt idx="10">
                  <c:v>46289</c:v>
                </c:pt>
                <c:pt idx="11">
                  <c:v>46290</c:v>
                </c:pt>
                <c:pt idx="12">
                  <c:v>46291</c:v>
                </c:pt>
                <c:pt idx="13">
                  <c:v>46292</c:v>
                </c:pt>
                <c:pt idx="14">
                  <c:v>46293</c:v>
                </c:pt>
                <c:pt idx="15">
                  <c:v>46294</c:v>
                </c:pt>
                <c:pt idx="16">
                  <c:v>46295</c:v>
                </c:pt>
                <c:pt idx="17">
                  <c:v>46296</c:v>
                </c:pt>
                <c:pt idx="18">
                  <c:v>46297</c:v>
                </c:pt>
                <c:pt idx="19">
                  <c:v>46298</c:v>
                </c:pt>
                <c:pt idx="20">
                  <c:v>46299</c:v>
                </c:pt>
                <c:pt idx="21">
                  <c:v>46300</c:v>
                </c:pt>
                <c:pt idx="22">
                  <c:v>46301</c:v>
                </c:pt>
                <c:pt idx="23">
                  <c:v>46302</c:v>
                </c:pt>
                <c:pt idx="24">
                  <c:v>46303</c:v>
                </c:pt>
                <c:pt idx="25">
                  <c:v>46304</c:v>
                </c:pt>
                <c:pt idx="26">
                  <c:v>46305</c:v>
                </c:pt>
                <c:pt idx="27">
                  <c:v>46306</c:v>
                </c:pt>
                <c:pt idx="28">
                  <c:v>46307</c:v>
                </c:pt>
                <c:pt idx="29">
                  <c:v>46308</c:v>
                </c:pt>
                <c:pt idx="30">
                  <c:v>46309</c:v>
                </c:pt>
                <c:pt idx="31">
                  <c:v>46310</c:v>
                </c:pt>
                <c:pt idx="32">
                  <c:v>46311</c:v>
                </c:pt>
                <c:pt idx="33">
                  <c:v>46312</c:v>
                </c:pt>
                <c:pt idx="34">
                  <c:v>46313</c:v>
                </c:pt>
                <c:pt idx="35">
                  <c:v>46314</c:v>
                </c:pt>
                <c:pt idx="36">
                  <c:v>46315</c:v>
                </c:pt>
                <c:pt idx="37">
                  <c:v>46316</c:v>
                </c:pt>
                <c:pt idx="38">
                  <c:v>46317</c:v>
                </c:pt>
                <c:pt idx="39">
                  <c:v>46318</c:v>
                </c:pt>
                <c:pt idx="40">
                  <c:v>46319</c:v>
                </c:pt>
                <c:pt idx="41">
                  <c:v>46320</c:v>
                </c:pt>
                <c:pt idx="42">
                  <c:v>46321</c:v>
                </c:pt>
              </c:numCache>
            </c:numRef>
          </c:cat>
          <c:val>
            <c:numRef>
              <c:f>Evolución!$D$9:$D$51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  <c:max val="46321.0"/>
          <c:min val="46279.0"/>
        </c:scaling>
        <c:axPos val="b"/>
        <c:numFmt formatCode="dd/mm" sourceLinked="0"/>
        <c:majorTickMark val="none"/>
        <c:tickLblPos val="nextTo"/>
        <c:spPr>
          <a:ln>
            <a:solidFill>
              <a:srgbClr val="D8D0F4"/>
            </a:solidFill>
          </a:ln>
        </c:spPr>
        <c:txPr>
          <a:bodyPr rot="0" vert="horz"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  <c:min val="0"/>
        </c:scaling>
        <c:axPos val="l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solidFill>
                <a:srgbClr val="20202B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Kits acumulados por fecha de entrega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Kits acumulados</c:v>
          </c:tx>
          <c:spPr>
            <a:ln w="28575">
              <a:solidFill>
                <a:srgbClr val="512F8D"/>
              </a:solidFill>
            </a:ln>
          </c:spPr>
          <c:marker>
            <c:symbol val="circle"/>
            <c:size val="5"/>
            <c:spPr>
              <a:solidFill>
                <a:srgbClr val="7657B9"/>
              </a:solidFill>
              <a:ln>
                <a:solidFill>
                  <a:srgbClr val="FFFFFF"/>
                </a:solidFill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numFmt formatCode="#,##0" sourceLinked="0"/>
            <c:txPr>
              <a:bodyPr/>
              <a:lstStyle/>
              <a:p>
                <a:pPr>
                  <a:defRPr sz="900" b="1" baseline="0">
                    <a:solidFill>
                      <a:srgbClr val="2B164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Val val="1"/>
          </c:dLbls>
          <c:xVal>
            <c:numRef>
              <c:f>'Entregas Kobo'!$B$11:$B$99</c:f>
              <c:numCache>
                <c:formatCode>General</c:formatCode>
                <c:ptCount val="89"/>
                <c:pt idx="0">
                  <c:v>46265</c:v>
                </c:pt>
                <c:pt idx="1">
                  <c:v>46265</c:v>
                </c:pt>
                <c:pt idx="2">
                  <c:v>46265</c:v>
                </c:pt>
                <c:pt idx="3">
                  <c:v>46268</c:v>
                </c:pt>
                <c:pt idx="4">
                  <c:v>46268</c:v>
                </c:pt>
                <c:pt idx="5">
                  <c:v>46268</c:v>
                </c:pt>
                <c:pt idx="6">
                  <c:v>46269</c:v>
                </c:pt>
                <c:pt idx="7">
                  <c:v>46274</c:v>
                </c:pt>
                <c:pt idx="8">
                  <c:v>46274</c:v>
                </c:pt>
                <c:pt idx="9">
                  <c:v>46274</c:v>
                </c:pt>
                <c:pt idx="10">
                  <c:v>46274</c:v>
                </c:pt>
                <c:pt idx="11">
                  <c:v>46275</c:v>
                </c:pt>
                <c:pt idx="12">
                  <c:v>46275</c:v>
                </c:pt>
                <c:pt idx="13">
                  <c:v>46275</c:v>
                </c:pt>
                <c:pt idx="14">
                  <c:v>46275</c:v>
                </c:pt>
                <c:pt idx="15">
                  <c:v>46280</c:v>
                </c:pt>
                <c:pt idx="16">
                  <c:v>46283</c:v>
                </c:pt>
                <c:pt idx="17">
                  <c:v>46283</c:v>
                </c:pt>
                <c:pt idx="18">
                  <c:v>46289</c:v>
                </c:pt>
                <c:pt idx="19">
                  <c:v>46289</c:v>
                </c:pt>
                <c:pt idx="20">
                  <c:v>46289</c:v>
                </c:pt>
                <c:pt idx="21">
                  <c:v>46290</c:v>
                </c:pt>
                <c:pt idx="22">
                  <c:v>46293</c:v>
                </c:pt>
                <c:pt idx="23">
                  <c:v>46293</c:v>
                </c:pt>
                <c:pt idx="24">
                  <c:v>46294</c:v>
                </c:pt>
                <c:pt idx="25">
                  <c:v>46294</c:v>
                </c:pt>
                <c:pt idx="26">
                  <c:v>46294</c:v>
                </c:pt>
                <c:pt idx="27">
                  <c:v>46295</c:v>
                </c:pt>
                <c:pt idx="28">
                  <c:v>46296</c:v>
                </c:pt>
                <c:pt idx="29">
                  <c:v>46296</c:v>
                </c:pt>
                <c:pt idx="30">
                  <c:v>46296</c:v>
                </c:pt>
                <c:pt idx="31">
                  <c:v>46296</c:v>
                </c:pt>
                <c:pt idx="32">
                  <c:v>46296</c:v>
                </c:pt>
                <c:pt idx="33">
                  <c:v>46296</c:v>
                </c:pt>
                <c:pt idx="34">
                  <c:v>46297</c:v>
                </c:pt>
                <c:pt idx="35">
                  <c:v>46297</c:v>
                </c:pt>
                <c:pt idx="36">
                  <c:v>46297</c:v>
                </c:pt>
                <c:pt idx="37">
                  <c:v>46298</c:v>
                </c:pt>
                <c:pt idx="38">
                  <c:v>46298</c:v>
                </c:pt>
                <c:pt idx="39">
                  <c:v>46300</c:v>
                </c:pt>
                <c:pt idx="40">
                  <c:v>46300</c:v>
                </c:pt>
                <c:pt idx="41">
                  <c:v>46301</c:v>
                </c:pt>
                <c:pt idx="42">
                  <c:v>46301</c:v>
                </c:pt>
                <c:pt idx="43">
                  <c:v>46303</c:v>
                </c:pt>
                <c:pt idx="44">
                  <c:v>46303</c:v>
                </c:pt>
                <c:pt idx="45">
                  <c:v>46303</c:v>
                </c:pt>
                <c:pt idx="46">
                  <c:v>46303</c:v>
                </c:pt>
                <c:pt idx="47">
                  <c:v>46303</c:v>
                </c:pt>
                <c:pt idx="48">
                  <c:v>46304</c:v>
                </c:pt>
                <c:pt idx="49">
                  <c:v>46305</c:v>
                </c:pt>
                <c:pt idx="50">
                  <c:v>46305</c:v>
                </c:pt>
                <c:pt idx="51">
                  <c:v>46307</c:v>
                </c:pt>
                <c:pt idx="52">
                  <c:v>46307</c:v>
                </c:pt>
                <c:pt idx="53">
                  <c:v>46308</c:v>
                </c:pt>
                <c:pt idx="54">
                  <c:v>46308</c:v>
                </c:pt>
                <c:pt idx="55">
                  <c:v>46309</c:v>
                </c:pt>
                <c:pt idx="56">
                  <c:v>46310</c:v>
                </c:pt>
                <c:pt idx="57">
                  <c:v>46311</c:v>
                </c:pt>
                <c:pt idx="58">
                  <c:v>46311</c:v>
                </c:pt>
                <c:pt idx="59">
                  <c:v>46311</c:v>
                </c:pt>
                <c:pt idx="60">
                  <c:v>46311</c:v>
                </c:pt>
                <c:pt idx="61">
                  <c:v>46311</c:v>
                </c:pt>
                <c:pt idx="62">
                  <c:v>46312</c:v>
                </c:pt>
                <c:pt idx="63">
                  <c:v>46314</c:v>
                </c:pt>
                <c:pt idx="64">
                  <c:v>46315</c:v>
                </c:pt>
                <c:pt idx="65">
                  <c:v>46315</c:v>
                </c:pt>
                <c:pt idx="66">
                  <c:v>46315</c:v>
                </c:pt>
                <c:pt idx="67">
                  <c:v>46315</c:v>
                </c:pt>
                <c:pt idx="68">
                  <c:v>46316</c:v>
                </c:pt>
                <c:pt idx="69">
                  <c:v>46316</c:v>
                </c:pt>
                <c:pt idx="70">
                  <c:v>46316</c:v>
                </c:pt>
                <c:pt idx="71">
                  <c:v>46317</c:v>
                </c:pt>
                <c:pt idx="72">
                  <c:v>46317</c:v>
                </c:pt>
                <c:pt idx="73">
                  <c:v>46318</c:v>
                </c:pt>
                <c:pt idx="74">
                  <c:v>46319</c:v>
                </c:pt>
                <c:pt idx="75">
                  <c:v>46319</c:v>
                </c:pt>
                <c:pt idx="76">
                  <c:v>46319</c:v>
                </c:pt>
                <c:pt idx="77">
                  <c:v>46319</c:v>
                </c:pt>
                <c:pt idx="78">
                  <c:v>46319</c:v>
                </c:pt>
                <c:pt idx="79">
                  <c:v>46319</c:v>
                </c:pt>
                <c:pt idx="80">
                  <c:v>46319</c:v>
                </c:pt>
                <c:pt idx="81">
                  <c:v>46319</c:v>
                </c:pt>
                <c:pt idx="82">
                  <c:v>46320</c:v>
                </c:pt>
                <c:pt idx="83">
                  <c:v>46320</c:v>
                </c:pt>
                <c:pt idx="84">
                  <c:v>46320</c:v>
                </c:pt>
                <c:pt idx="85">
                  <c:v>46320</c:v>
                </c:pt>
                <c:pt idx="86">
                  <c:v>46320</c:v>
                </c:pt>
                <c:pt idx="87">
                  <c:v>46320</c:v>
                </c:pt>
                <c:pt idx="88">
                  <c:v>46321</c:v>
                </c:pt>
              </c:numCache>
            </c:numRef>
          </c:xVal>
          <c:yVal>
            <c:numRef>
              <c:f>'Entregas Kobo'!$F$11:$F$99</c:f>
              <c:numCache>
                <c:formatCode>General</c:formatCode>
                <c:ptCount val="89"/>
                <c:pt idx="0">
                  <c:v>399</c:v>
                </c:pt>
                <c:pt idx="1">
                  <c:v>402</c:v>
                </c:pt>
                <c:pt idx="2">
                  <c:v>403</c:v>
                </c:pt>
                <c:pt idx="3">
                  <c:v>653</c:v>
                </c:pt>
                <c:pt idx="4">
                  <c:v>663</c:v>
                </c:pt>
                <c:pt idx="5">
                  <c:v>673</c:v>
                </c:pt>
                <c:pt idx="6">
                  <c:v>680</c:v>
                </c:pt>
                <c:pt idx="7">
                  <c:v>700</c:v>
                </c:pt>
                <c:pt idx="8">
                  <c:v>702</c:v>
                </c:pt>
                <c:pt idx="9">
                  <c:v>703</c:v>
                </c:pt>
                <c:pt idx="10">
                  <c:v>704</c:v>
                </c:pt>
                <c:pt idx="11">
                  <c:v>706</c:v>
                </c:pt>
                <c:pt idx="12">
                  <c:v>707</c:v>
                </c:pt>
                <c:pt idx="13">
                  <c:v>708</c:v>
                </c:pt>
                <c:pt idx="14">
                  <c:v>709</c:v>
                </c:pt>
                <c:pt idx="15">
                  <c:v>710</c:v>
                </c:pt>
                <c:pt idx="16">
                  <c:v>776</c:v>
                </c:pt>
                <c:pt idx="17">
                  <c:v>777</c:v>
                </c:pt>
                <c:pt idx="18">
                  <c:v>2277</c:v>
                </c:pt>
                <c:pt idx="19">
                  <c:v>2459</c:v>
                </c:pt>
                <c:pt idx="20">
                  <c:v>2589</c:v>
                </c:pt>
                <c:pt idx="21">
                  <c:v>3289</c:v>
                </c:pt>
                <c:pt idx="22">
                  <c:v>3689</c:v>
                </c:pt>
                <c:pt idx="23">
                  <c:v>3829</c:v>
                </c:pt>
                <c:pt idx="24">
                  <c:v>4129</c:v>
                </c:pt>
                <c:pt idx="25">
                  <c:v>4189</c:v>
                </c:pt>
                <c:pt idx="26">
                  <c:v>4196</c:v>
                </c:pt>
                <c:pt idx="27">
                  <c:v>4206</c:v>
                </c:pt>
                <c:pt idx="28">
                  <c:v>4746</c:v>
                </c:pt>
                <c:pt idx="29">
                  <c:v>4866</c:v>
                </c:pt>
                <c:pt idx="30">
                  <c:v>4946</c:v>
                </c:pt>
                <c:pt idx="31">
                  <c:v>4951</c:v>
                </c:pt>
                <c:pt idx="32">
                  <c:v>4952</c:v>
                </c:pt>
                <c:pt idx="33">
                  <c:v>4953</c:v>
                </c:pt>
                <c:pt idx="34">
                  <c:v>5040</c:v>
                </c:pt>
                <c:pt idx="35">
                  <c:v>5125</c:v>
                </c:pt>
                <c:pt idx="36">
                  <c:v>5210</c:v>
                </c:pt>
                <c:pt idx="37">
                  <c:v>5982</c:v>
                </c:pt>
                <c:pt idx="38">
                  <c:v>6000</c:v>
                </c:pt>
                <c:pt idx="39">
                  <c:v>7500</c:v>
                </c:pt>
                <c:pt idx="40">
                  <c:v>7510</c:v>
                </c:pt>
                <c:pt idx="41">
                  <c:v>8780</c:v>
                </c:pt>
                <c:pt idx="42">
                  <c:v>8830</c:v>
                </c:pt>
                <c:pt idx="43">
                  <c:v>8971</c:v>
                </c:pt>
                <c:pt idx="44">
                  <c:v>9096</c:v>
                </c:pt>
                <c:pt idx="45">
                  <c:v>9171</c:v>
                </c:pt>
                <c:pt idx="46">
                  <c:v>9211</c:v>
                </c:pt>
                <c:pt idx="47">
                  <c:v>9251</c:v>
                </c:pt>
                <c:pt idx="48">
                  <c:v>9262</c:v>
                </c:pt>
                <c:pt idx="49">
                  <c:v>9332</c:v>
                </c:pt>
                <c:pt idx="50">
                  <c:v>9361</c:v>
                </c:pt>
                <c:pt idx="51">
                  <c:v>9383</c:v>
                </c:pt>
                <c:pt idx="52">
                  <c:v>9389</c:v>
                </c:pt>
                <c:pt idx="53">
                  <c:v>9453</c:v>
                </c:pt>
                <c:pt idx="54">
                  <c:v>9477</c:v>
                </c:pt>
                <c:pt idx="55">
                  <c:v>9612</c:v>
                </c:pt>
                <c:pt idx="56">
                  <c:v>9619</c:v>
                </c:pt>
                <c:pt idx="57">
                  <c:v>9819</c:v>
                </c:pt>
                <c:pt idx="58">
                  <c:v>9863</c:v>
                </c:pt>
                <c:pt idx="59">
                  <c:v>9893</c:v>
                </c:pt>
                <c:pt idx="60">
                  <c:v>9897</c:v>
                </c:pt>
                <c:pt idx="61">
                  <c:v>9900</c:v>
                </c:pt>
                <c:pt idx="62">
                  <c:v>9920</c:v>
                </c:pt>
                <c:pt idx="63">
                  <c:v>9956</c:v>
                </c:pt>
                <c:pt idx="64">
                  <c:v>10956</c:v>
                </c:pt>
                <c:pt idx="65">
                  <c:v>11756</c:v>
                </c:pt>
                <c:pt idx="66">
                  <c:v>12056</c:v>
                </c:pt>
                <c:pt idx="67">
                  <c:v>12272</c:v>
                </c:pt>
                <c:pt idx="68">
                  <c:v>12289</c:v>
                </c:pt>
                <c:pt idx="69">
                  <c:v>12294</c:v>
                </c:pt>
                <c:pt idx="70">
                  <c:v>12297</c:v>
                </c:pt>
                <c:pt idx="71">
                  <c:v>12308</c:v>
                </c:pt>
                <c:pt idx="72">
                  <c:v>12311</c:v>
                </c:pt>
                <c:pt idx="73">
                  <c:v>12561</c:v>
                </c:pt>
                <c:pt idx="74">
                  <c:v>12711</c:v>
                </c:pt>
                <c:pt idx="75">
                  <c:v>12811</c:v>
                </c:pt>
                <c:pt idx="76">
                  <c:v>12911</c:v>
                </c:pt>
                <c:pt idx="77">
                  <c:v>13008</c:v>
                </c:pt>
                <c:pt idx="78">
                  <c:v>13074</c:v>
                </c:pt>
                <c:pt idx="79">
                  <c:v>13104</c:v>
                </c:pt>
                <c:pt idx="80">
                  <c:v>13129</c:v>
                </c:pt>
                <c:pt idx="81">
                  <c:v>13144</c:v>
                </c:pt>
                <c:pt idx="82">
                  <c:v>13159</c:v>
                </c:pt>
                <c:pt idx="83">
                  <c:v>13161</c:v>
                </c:pt>
                <c:pt idx="84">
                  <c:v>13162</c:v>
                </c:pt>
                <c:pt idx="85">
                  <c:v>13163</c:v>
                </c:pt>
                <c:pt idx="86">
                  <c:v>13164</c:v>
                </c:pt>
                <c:pt idx="87">
                  <c:v>13165</c:v>
                </c:pt>
                <c:pt idx="88">
                  <c:v>13390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46323"/>
          <c:min val="46263"/>
        </c:scaling>
        <c:axPos val="b"/>
        <c:numFmt formatCode="dd/mm" sourceLinked="0"/>
        <c:majorTickMark val="none"/>
        <c:tickLblPos val="nextTo"/>
        <c:spPr>
          <a:ln>
            <a:solidFill>
              <a:srgbClr val="D8D0F4"/>
            </a:solidFill>
          </a:ln>
        </c:spPr>
        <c:txPr>
          <a:bodyPr rot="0" vert="horz"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  <c:majorUnit val="7"/>
      </c:valAx>
      <c:valAx>
        <c:axId val="50040002"/>
        <c:scaling>
          <c:orientation val="minMax"/>
          <c:min val="0"/>
        </c:scaling>
        <c:axPos val="l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Cada etapa, por provincia (cada barra suma el 100 %)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Bono!$B$9</c:f>
              <c:strCache>
                <c:ptCount val="1"/>
                <c:pt idx="0">
                  <c:v>Esmeraldas</c:v>
                </c:pt>
              </c:strCache>
            </c:strRef>
          </c:tx>
          <c:spPr>
            <a:solidFill>
              <a:srgbClr val="7657B9"/>
            </a:solidFill>
            <a:ln w="19050"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Bono!$C$9:$D$9</c:f>
              <c:numCache>
                <c:formatCode>General</c:formatCode>
                <c:ptCount val="2"/>
                <c:pt idx="0">
                  <c:v>0</c:v>
                </c:pt>
                <c:pt idx="1">
                  <c:v>530</c:v>
                </c:pt>
              </c:numCache>
            </c:numRef>
          </c:val>
        </c:ser>
        <c:ser>
          <c:idx val="1"/>
          <c:order val="1"/>
          <c:tx>
            <c:strRef>
              <c:f>Bono!$B$10</c:f>
              <c:strCache>
                <c:ptCount val="1"/>
                <c:pt idx="0">
                  <c:v>Guayas</c:v>
                </c:pt>
              </c:strCache>
            </c:strRef>
          </c:tx>
          <c:spPr>
            <a:solidFill>
              <a:srgbClr val="512F8D"/>
            </a:solidFill>
            <a:ln w="19050">
              <a:solidFill>
                <a:srgbClr val="FFFFFF"/>
              </a:solidFill>
            </a:ln>
          </c:spPr>
          <c:dLbls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Bono!$C$10:$D$10</c:f>
              <c:numCache>
                <c:formatCode>General</c:formatCode>
                <c:ptCount val="2"/>
                <c:pt idx="0">
                  <c:v>67</c:v>
                </c:pt>
                <c:pt idx="1">
                  <c:v>344</c:v>
                </c:pt>
              </c:numCache>
            </c:numRef>
          </c:val>
        </c:ser>
        <c:ser>
          <c:idx val="2"/>
          <c:order val="2"/>
          <c:tx>
            <c:strRef>
              <c:f>Bono!$B$11</c:f>
              <c:strCache>
                <c:ptCount val="1"/>
                <c:pt idx="0">
                  <c:v>El Oro</c:v>
                </c:pt>
              </c:strCache>
            </c:strRef>
          </c:tx>
          <c:spPr>
            <a:solidFill>
              <a:srgbClr val="A995E0"/>
            </a:solidFill>
            <a:ln w="19050"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2B164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Bono!$C$11:$D$11</c:f>
              <c:numCache>
                <c:formatCode>General</c:formatCode>
                <c:ptCount val="2"/>
                <c:pt idx="0">
                  <c:v>0</c:v>
                </c:pt>
                <c:pt idx="1">
                  <c:v>181</c:v>
                </c:pt>
              </c:numCache>
            </c:numRef>
          </c:val>
        </c:ser>
        <c:ser>
          <c:idx val="3"/>
          <c:order val="3"/>
          <c:tx>
            <c:strRef>
              <c:f>Bono!$B$12</c:f>
              <c:strCache>
                <c:ptCount val="1"/>
                <c:pt idx="0">
                  <c:v>Los Ríos</c:v>
                </c:pt>
              </c:strCache>
            </c:strRef>
          </c:tx>
          <c:spPr>
            <a:solidFill>
              <a:srgbClr val="A32C74"/>
            </a:solidFill>
            <a:ln w="19050"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Bono!$C$12:$D$12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val>
        </c:ser>
        <c:ser>
          <c:idx val="4"/>
          <c:order val="4"/>
          <c:tx>
            <c:strRef>
              <c:f>Bono!$B$13</c:f>
              <c:strCache>
                <c:ptCount val="1"/>
                <c:pt idx="0">
                  <c:v>Manabí</c:v>
                </c:pt>
              </c:strCache>
            </c:strRef>
          </c:tx>
          <c:spPr>
            <a:solidFill>
              <a:srgbClr val="F8C018"/>
            </a:solidFill>
            <a:ln w="19050">
              <a:solidFill>
                <a:srgbClr val="FFFFFF"/>
              </a:solidFill>
            </a:ln>
          </c:spPr>
          <c:dLbls>
            <c:dLbl>
              <c:idx val="1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2B164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Bono!$C$13:$D$13</c:f>
              <c:numCache>
                <c:formatCode>General</c:formatCode>
                <c:ptCount val="2"/>
                <c:pt idx="0">
                  <c:v>45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Bono!$B$14</c:f>
              <c:strCache>
                <c:ptCount val="1"/>
                <c:pt idx="0">
                  <c:v>Imbabura</c:v>
                </c:pt>
              </c:strCache>
            </c:strRef>
          </c:tx>
          <c:spPr>
            <a:solidFill>
              <a:srgbClr val="E6A3C5"/>
            </a:solidFill>
            <a:ln w="19050"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2B164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Bono!$C$14:$D$14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</c:ser>
        <c:ser>
          <c:idx val="6"/>
          <c:order val="6"/>
          <c:tx>
            <c:strRef>
              <c:f>Bono!$B$15</c:f>
              <c:strCache>
                <c:ptCount val="1"/>
                <c:pt idx="0">
                  <c:v>Azuay</c:v>
                </c:pt>
              </c:strCache>
            </c:strRef>
          </c:tx>
          <c:spPr>
            <a:solidFill>
              <a:srgbClr val="2B164F"/>
            </a:solidFill>
            <a:ln w="19050">
              <a:solidFill>
                <a:srgbClr val="FFFFFF"/>
              </a:solidFill>
            </a:ln>
          </c:spPr>
          <c:dLbls>
            <c:dLbl>
              <c:idx val="0"/>
              <c:delete val="1"/>
            </c:dLbl>
            <c:dLbl>
              <c:idx val="1"/>
              <c:delete val="1"/>
            </c:dLbl>
            <c:numFmt formatCode="#,##0;-#,##0;&quot;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Bono!$C$8:$D$8</c:f>
              <c:strCache>
                <c:ptCount val="2"/>
                <c:pt idx="0">
                  <c:v>Pago gestionado (núcleos familiares)</c:v>
                </c:pt>
                <c:pt idx="1">
                  <c:v>En articulación (personas)</c:v>
                </c:pt>
              </c:strCache>
            </c:strRef>
          </c:cat>
          <c:val>
            <c:numRef>
              <c:f>Bono!$C$15:$D$15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gapWidth val="60"/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delete val="1"/>
        <c:axPos val="t"/>
        <c:numFmt formatCode="0%" sourceLinked="1"/>
        <c:tickLblPos val="nextTo"/>
        <c:crossAx val="500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0202B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chart" Target="../charts/chart1.xml"/><Relationship Id="rId10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4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571500</xdr:colOff>
      <xdr:row>1</xdr:row>
      <xdr:rowOff>19050</xdr:rowOff>
    </xdr:from>
    <xdr:to>
      <xdr:col>15</xdr:col>
      <xdr:colOff>588479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5</xdr:col>
      <xdr:colOff>133350</xdr:colOff>
      <xdr:row>62</xdr:row>
      <xdr:rowOff>171450</xdr:rowOff>
    </xdr:to>
    <xdr:pic>
      <xdr:nvPicPr>
        <xdr:cNvPr id="3" name="Picture 2" descr="Mapa del Ecuador: alertas con código u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1410950"/>
          <a:ext cx="3028950" cy="3028950"/>
        </a:xfrm>
        <a:prstGeom prst="rect">
          <a:avLst/>
        </a:prstGeom>
      </xdr:spPr>
    </xdr:pic>
    <xdr:clientData/>
  </xdr:twoCellAnchor>
  <xdr:twoCellAnchor editAs="absolute">
    <xdr:from>
      <xdr:col>6</xdr:col>
      <xdr:colOff>0</xdr:colOff>
      <xdr:row>47</xdr:row>
      <xdr:rowOff>0</xdr:rowOff>
    </xdr:from>
    <xdr:to>
      <xdr:col>10</xdr:col>
      <xdr:colOff>133350</xdr:colOff>
      <xdr:row>62</xdr:row>
      <xdr:rowOff>171450</xdr:rowOff>
    </xdr:to>
    <xdr:pic>
      <xdr:nvPicPr>
        <xdr:cNvPr id="4" name="Picture 3" descr="Mapa del Ecuador: ua suspendidas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29050" y="11410950"/>
          <a:ext cx="3028950" cy="302895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47</xdr:row>
      <xdr:rowOff>0</xdr:rowOff>
    </xdr:from>
    <xdr:to>
      <xdr:col>15</xdr:col>
      <xdr:colOff>133350</xdr:colOff>
      <xdr:row>62</xdr:row>
      <xdr:rowOff>171450</xdr:rowOff>
    </xdr:to>
    <xdr:pic>
      <xdr:nvPicPr>
        <xdr:cNvPr id="5" name="Picture 4" descr="Mapa del Ecuador: kits entregados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48550" y="11410950"/>
          <a:ext cx="3028950" cy="30289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65</xdr:row>
      <xdr:rowOff>95250</xdr:rowOff>
    </xdr:from>
    <xdr:to>
      <xdr:col>1</xdr:col>
      <xdr:colOff>533400</xdr:colOff>
      <xdr:row>65</xdr:row>
      <xdr:rowOff>342900</xdr:rowOff>
    </xdr:to>
    <xdr:pic>
      <xdr:nvPicPr>
        <xdr:cNvPr id="6" name="Picture 5" descr="icono_storm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15087600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67</xdr:row>
      <xdr:rowOff>95250</xdr:rowOff>
    </xdr:from>
    <xdr:to>
      <xdr:col>1</xdr:col>
      <xdr:colOff>533400</xdr:colOff>
      <xdr:row>67</xdr:row>
      <xdr:rowOff>342900</xdr:rowOff>
    </xdr:to>
    <xdr:pic>
      <xdr:nvPicPr>
        <xdr:cNvPr id="7" name="Picture 6" descr="icono_shiel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15592425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69</xdr:row>
      <xdr:rowOff>95250</xdr:rowOff>
    </xdr:from>
    <xdr:to>
      <xdr:col>1</xdr:col>
      <xdr:colOff>533400</xdr:colOff>
      <xdr:row>69</xdr:row>
      <xdr:rowOff>342900</xdr:rowOff>
    </xdr:to>
    <xdr:pic>
      <xdr:nvPicPr>
        <xdr:cNvPr id="8" name="Picture 7" descr="icono_life-buoy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" y="16097250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71</xdr:row>
      <xdr:rowOff>95250</xdr:rowOff>
    </xdr:from>
    <xdr:to>
      <xdr:col>1</xdr:col>
      <xdr:colOff>533400</xdr:colOff>
      <xdr:row>71</xdr:row>
      <xdr:rowOff>342900</xdr:rowOff>
    </xdr:to>
    <xdr:pic>
      <xdr:nvPicPr>
        <xdr:cNvPr id="9" name="Picture 8" descr="icono_hand-coin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16602075"/>
          <a:ext cx="247650" cy="247650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15</xdr:row>
      <xdr:rowOff>19050</xdr:rowOff>
    </xdr:from>
    <xdr:to>
      <xdr:col>16</xdr:col>
      <xdr:colOff>38100</xdr:colOff>
      <xdr:row>26</xdr:row>
      <xdr:rowOff>266700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30</xdr:row>
      <xdr:rowOff>57150</xdr:rowOff>
    </xdr:from>
    <xdr:to>
      <xdr:col>16</xdr:col>
      <xdr:colOff>0</xdr:colOff>
      <xdr:row>44</xdr:row>
      <xdr:rowOff>152400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238125</xdr:colOff>
      <xdr:row>1</xdr:row>
      <xdr:rowOff>19050</xdr:rowOff>
    </xdr:from>
    <xdr:to>
      <xdr:col>6</xdr:col>
      <xdr:colOff>778979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2375" y="171450"/>
          <a:ext cx="2188679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3486150</xdr:colOff>
      <xdr:row>1</xdr:row>
      <xdr:rowOff>19050</xdr:rowOff>
    </xdr:from>
    <xdr:to>
      <xdr:col>10</xdr:col>
      <xdr:colOff>645629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96925" y="171450"/>
          <a:ext cx="2188679" cy="38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19050</xdr:colOff>
      <xdr:row>1</xdr:row>
      <xdr:rowOff>19050</xdr:rowOff>
    </xdr:from>
    <xdr:to>
      <xdr:col>13</xdr:col>
      <xdr:colOff>645629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71450"/>
          <a:ext cx="2188679" cy="381000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6</xdr:row>
      <xdr:rowOff>57150</xdr:rowOff>
    </xdr:from>
    <xdr:to>
      <xdr:col>14</xdr:col>
      <xdr:colOff>38100</xdr:colOff>
      <xdr:row>19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19050</xdr:colOff>
      <xdr:row>1</xdr:row>
      <xdr:rowOff>19050</xdr:rowOff>
    </xdr:from>
    <xdr:to>
      <xdr:col>13</xdr:col>
      <xdr:colOff>645629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0" y="171450"/>
          <a:ext cx="2188679" cy="381000"/>
        </a:xfrm>
        <a:prstGeom prst="rect">
          <a:avLst/>
        </a:prstGeom>
      </xdr:spPr>
    </xdr:pic>
    <xdr:clientData/>
  </xdr:twoCellAnchor>
  <xdr:twoCellAnchor>
    <xdr:from>
      <xdr:col>7</xdr:col>
      <xdr:colOff>57150</xdr:colOff>
      <xdr:row>6</xdr:row>
      <xdr:rowOff>0</xdr:rowOff>
    </xdr:from>
    <xdr:to>
      <xdr:col>14</xdr:col>
      <xdr:colOff>57150</xdr:colOff>
      <xdr:row>29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238125</xdr:colOff>
      <xdr:row>1</xdr:row>
      <xdr:rowOff>19050</xdr:rowOff>
    </xdr:from>
    <xdr:to>
      <xdr:col>7</xdr:col>
      <xdr:colOff>912329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3275" y="171450"/>
          <a:ext cx="2188679" cy="381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838200</xdr:colOff>
      <xdr:row>1</xdr:row>
      <xdr:rowOff>19050</xdr:rowOff>
    </xdr:from>
    <xdr:to>
      <xdr:col>5</xdr:col>
      <xdr:colOff>1512404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5" y="171450"/>
          <a:ext cx="2188679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38100</xdr:rowOff>
    </xdr:from>
    <xdr:to>
      <xdr:col>6</xdr:col>
      <xdr:colOff>0</xdr:colOff>
      <xdr:row>29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571500</xdr:colOff>
      <xdr:row>1</xdr:row>
      <xdr:rowOff>19050</xdr:rowOff>
    </xdr:from>
    <xdr:to>
      <xdr:col>7</xdr:col>
      <xdr:colOff>1379054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171450"/>
          <a:ext cx="2188679" cy="381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5191125</xdr:colOff>
      <xdr:row>1</xdr:row>
      <xdr:rowOff>19050</xdr:rowOff>
    </xdr:from>
    <xdr:to>
      <xdr:col>2</xdr:col>
      <xdr:colOff>7379804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0" y="171450"/>
          <a:ext cx="218867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TDH Institucional">
  <a:themeElements>
    <a:clrScheme name="MTDH">
      <a:dk1>
        <a:sysClr val="windowText" lastClr="000000"/>
      </a:dk1>
      <a:lt1>
        <a:sysClr val="window" lastClr="FFFFFF"/>
      </a:lt1>
      <a:dk2>
        <a:srgbClr val="2B164F"/>
      </a:dk2>
      <a:lt2>
        <a:srgbClr val="EBE5F3"/>
      </a:lt2>
      <a:accent1>
        <a:srgbClr val="512F8D"/>
      </a:accent1>
      <a:accent2>
        <a:srgbClr val="C33F8D"/>
      </a:accent2>
      <a:accent3>
        <a:srgbClr val="F8C018"/>
      </a:accent3>
      <a:accent4>
        <a:srgbClr val="7657B9"/>
      </a:accent4>
      <a:accent5>
        <a:srgbClr val="A995E0"/>
      </a:accent5>
      <a:accent6>
        <a:srgbClr val="3D216D"/>
      </a:accent6>
      <a:hlink>
        <a:srgbClr val="512F8D"/>
      </a:hlink>
      <a:folHlink>
        <a:srgbClr val="7657B9"/>
      </a:folHlink>
    </a:clrScheme>
    <a:fontScheme name="Office">
      <a:majorFont>
        <a:latin typeface="Century Gothic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12F8D"/>
    <pageSetUpPr fitToPage="1"/>
  </sheetPr>
  <dimension ref="A1:Q73"/>
  <sheetViews>
    <sheetView showGridLines="0" tabSelected="1" zoomScale="90" zoomScaleNormal="90" workbookViewId="0"/>
  </sheetViews>
  <sheetFormatPr defaultRowHeight="15" x14ac:dyDescent="0.25"/>
  <cols>
    <col min="1" max="1" width="3.140625" customWidth="1"/>
    <col min="2" max="16" width="10.85546875" customWidth="1"/>
    <col min="17" max="17" width="3.140625" customWidth="1"/>
  </cols>
  <sheetData>
    <row r="1" spans="1:17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40" customHeight="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0" customHeight="1" x14ac:dyDescent="0.25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7" spans="1:17" ht="27" customHeight="1" x14ac:dyDescent="0.25">
      <c r="B7" s="6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 t="s">
        <v>4</v>
      </c>
    </row>
    <row r="9" spans="1:17" ht="24" customHeight="1" x14ac:dyDescent="0.25">
      <c r="B9" s="9" t="s">
        <v>5</v>
      </c>
      <c r="C9" s="9"/>
      <c r="D9" s="9"/>
      <c r="E9" s="10" t="s">
        <v>7</v>
      </c>
      <c r="F9" s="10"/>
      <c r="G9" s="10"/>
      <c r="H9" s="11" t="s">
        <v>9</v>
      </c>
      <c r="I9" s="11"/>
      <c r="J9" s="11"/>
      <c r="K9" s="12" t="s">
        <v>11</v>
      </c>
      <c r="L9" s="12"/>
      <c r="M9" s="12"/>
      <c r="N9" s="13" t="s">
        <v>13</v>
      </c>
      <c r="O9" s="13"/>
      <c r="P9" s="13"/>
    </row>
    <row r="10" spans="1:17" ht="21" customHeight="1" x14ac:dyDescent="0.25">
      <c r="B10" s="14">
        <v>10</v>
      </c>
      <c r="C10" s="15"/>
      <c r="D10" s="15"/>
      <c r="E10" s="14">
        <v>13390</v>
      </c>
      <c r="F10" s="15"/>
      <c r="G10" s="15"/>
      <c r="H10" s="14">
        <v>113</v>
      </c>
      <c r="I10" s="15"/>
      <c r="J10" s="15"/>
      <c r="K10" s="16">
        <v>33200.8</v>
      </c>
      <c r="L10" s="15"/>
      <c r="M10" s="15"/>
      <c r="N10" s="14">
        <v>99</v>
      </c>
      <c r="O10" s="15"/>
      <c r="P10" s="15"/>
    </row>
    <row r="11" spans="1:17" ht="21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7" ht="30" customHeight="1" x14ac:dyDescent="0.25">
      <c r="B12" s="17" t="s">
        <v>6</v>
      </c>
      <c r="C12" s="17"/>
      <c r="D12" s="17"/>
      <c r="E12" s="17" t="s">
        <v>8</v>
      </c>
      <c r="F12" s="17"/>
      <c r="G12" s="17"/>
      <c r="H12" s="17" t="s">
        <v>10</v>
      </c>
      <c r="I12" s="17"/>
      <c r="J12" s="17"/>
      <c r="K12" s="17" t="s">
        <v>12</v>
      </c>
      <c r="L12" s="17"/>
      <c r="M12" s="17"/>
      <c r="N12" s="17" t="s">
        <v>14</v>
      </c>
      <c r="O12" s="17"/>
      <c r="P12" s="17"/>
    </row>
    <row r="14" spans="1:17" ht="27" customHeight="1" x14ac:dyDescent="0.25">
      <c r="B14" s="6" t="s">
        <v>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 t="s">
        <v>16</v>
      </c>
    </row>
    <row r="16" spans="1:17" ht="22" customHeight="1" x14ac:dyDescent="0.25">
      <c r="B16" s="18" t="s">
        <v>17</v>
      </c>
      <c r="C16" s="18"/>
      <c r="D16" s="18"/>
      <c r="E16" s="18"/>
      <c r="F16" s="18"/>
      <c r="G16" s="18"/>
      <c r="H16" s="18"/>
    </row>
    <row r="17" spans="2:16" ht="30" customHeight="1" x14ac:dyDescent="0.25">
      <c r="B17" s="19" t="s">
        <v>18</v>
      </c>
      <c r="C17" s="19"/>
      <c r="D17" s="19"/>
      <c r="E17" s="20" t="s">
        <v>19</v>
      </c>
      <c r="F17" s="20"/>
      <c r="G17" s="20" t="s">
        <v>20</v>
      </c>
      <c r="H17" s="20"/>
    </row>
    <row r="18" spans="2:16" ht="21" customHeight="1" x14ac:dyDescent="0.25">
      <c r="B18" s="21" t="s">
        <v>21</v>
      </c>
      <c r="C18" s="21"/>
      <c r="D18" s="21"/>
      <c r="E18" s="22">
        <v>64</v>
      </c>
      <c r="F18" s="22"/>
      <c r="G18" s="23">
        <v>0.6464646464646465</v>
      </c>
      <c r="H18" s="23"/>
    </row>
    <row r="19" spans="2:16" ht="21" customHeight="1" x14ac:dyDescent="0.25">
      <c r="B19" s="24" t="s">
        <v>22</v>
      </c>
      <c r="C19" s="24"/>
      <c r="D19" s="24"/>
      <c r="E19" s="25">
        <v>35</v>
      </c>
      <c r="F19" s="25"/>
      <c r="G19" s="26">
        <v>0.3535353535353535</v>
      </c>
      <c r="H19" s="26"/>
    </row>
    <row r="20" spans="2:16" ht="22" customHeight="1" x14ac:dyDescent="0.25">
      <c r="B20" s="27" t="s">
        <v>23</v>
      </c>
      <c r="C20" s="27"/>
      <c r="D20" s="27"/>
      <c r="E20" s="28">
        <f>SUM(E18:E19)</f>
        <v>99</v>
      </c>
      <c r="F20" s="28"/>
      <c r="G20" s="29">
        <v>1</v>
      </c>
      <c r="H20" s="29"/>
    </row>
    <row r="22" spans="2:16" ht="22" customHeight="1" x14ac:dyDescent="0.25">
      <c r="B22" s="18" t="s">
        <v>24</v>
      </c>
      <c r="C22" s="18"/>
      <c r="D22" s="18"/>
      <c r="E22" s="18"/>
      <c r="F22" s="18"/>
      <c r="G22" s="18"/>
      <c r="H22" s="18"/>
    </row>
    <row r="23" spans="2:16" ht="30" customHeight="1" x14ac:dyDescent="0.25">
      <c r="B23" s="19" t="s">
        <v>25</v>
      </c>
      <c r="C23" s="19"/>
      <c r="D23" s="19"/>
      <c r="E23" s="20" t="s">
        <v>19</v>
      </c>
      <c r="F23" s="20"/>
      <c r="G23" s="20" t="s">
        <v>20</v>
      </c>
      <c r="H23" s="20"/>
    </row>
    <row r="24" spans="2:16" ht="21" customHeight="1" x14ac:dyDescent="0.25">
      <c r="B24" s="21" t="s">
        <v>26</v>
      </c>
      <c r="C24" s="21"/>
      <c r="D24" s="21"/>
      <c r="E24" s="22">
        <v>75</v>
      </c>
      <c r="F24" s="22"/>
      <c r="G24" s="23">
        <v>0.7575757575757576</v>
      </c>
      <c r="H24" s="23"/>
    </row>
    <row r="25" spans="2:16" ht="21" customHeight="1" x14ac:dyDescent="0.25">
      <c r="B25" s="24" t="s">
        <v>27</v>
      </c>
      <c r="C25" s="24"/>
      <c r="D25" s="24"/>
      <c r="E25" s="25">
        <v>17</v>
      </c>
      <c r="F25" s="25"/>
      <c r="G25" s="26">
        <v>0.1717171717171717</v>
      </c>
      <c r="H25" s="26"/>
    </row>
    <row r="26" spans="2:16" ht="21" customHeight="1" x14ac:dyDescent="0.25">
      <c r="B26" s="21" t="s">
        <v>28</v>
      </c>
      <c r="C26" s="21"/>
      <c r="D26" s="21"/>
      <c r="E26" s="22">
        <v>7</v>
      </c>
      <c r="F26" s="22"/>
      <c r="G26" s="23">
        <v>0.0707070707070707</v>
      </c>
      <c r="H26" s="23"/>
    </row>
    <row r="27" spans="2:16" ht="22" customHeight="1" x14ac:dyDescent="0.25">
      <c r="B27" s="27" t="s">
        <v>23</v>
      </c>
      <c r="C27" s="27"/>
      <c r="D27" s="27"/>
      <c r="E27" s="28">
        <f>SUM(E24:E26)</f>
        <v>99</v>
      </c>
      <c r="F27" s="28"/>
      <c r="G27" s="29">
        <v>1</v>
      </c>
      <c r="H27" s="29"/>
    </row>
    <row r="30" spans="2:16" ht="27" customHeight="1" x14ac:dyDescent="0.25">
      <c r="B30" s="6" t="s">
        <v>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 t="s">
        <v>30</v>
      </c>
    </row>
    <row r="47" spans="2:15" ht="27" customHeight="1" x14ac:dyDescent="0.25">
      <c r="B47" s="6" t="s">
        <v>5</v>
      </c>
      <c r="C47" s="7"/>
      <c r="D47" s="7"/>
      <c r="E47" s="7"/>
      <c r="G47" s="6" t="s">
        <v>19</v>
      </c>
      <c r="H47" s="7"/>
      <c r="I47" s="7"/>
      <c r="J47" s="7"/>
      <c r="L47" s="6" t="s">
        <v>7</v>
      </c>
      <c r="M47" s="7"/>
      <c r="N47" s="7"/>
      <c r="O47" s="7"/>
    </row>
    <row r="65" spans="2:16" ht="27" customHeight="1" x14ac:dyDescent="0.25">
      <c r="B65" s="6" t="s">
        <v>31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2:16" ht="34" customHeight="1" x14ac:dyDescent="0.25">
      <c r="B66" s="30"/>
      <c r="C66" s="31" t="s">
        <v>32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</row>
    <row r="67" spans="2:16" ht="6" customHeight="1" x14ac:dyDescent="0.25"/>
    <row r="68" spans="2:16" ht="34" customHeight="1" x14ac:dyDescent="0.25">
      <c r="B68" s="30"/>
      <c r="C68" s="31" t="s">
        <v>33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</row>
    <row r="69" spans="2:16" ht="6" customHeight="1" x14ac:dyDescent="0.25"/>
    <row r="70" spans="2:16" ht="34" customHeight="1" x14ac:dyDescent="0.25">
      <c r="B70" s="30"/>
      <c r="C70" s="31" t="s">
        <v>34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spans="2:16" ht="6" customHeight="1" x14ac:dyDescent="0.25"/>
    <row r="72" spans="2:16" ht="34" customHeight="1" x14ac:dyDescent="0.25">
      <c r="B72" s="30"/>
      <c r="C72" s="31" t="s">
        <v>35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</row>
    <row r="73" spans="2:16" ht="6" customHeight="1" x14ac:dyDescent="0.25"/>
  </sheetData>
  <mergeCells count="48">
    <mergeCell ref="B9:D9"/>
    <mergeCell ref="B10:D11"/>
    <mergeCell ref="B12:D12"/>
    <mergeCell ref="E9:G9"/>
    <mergeCell ref="E10:G11"/>
    <mergeCell ref="E12:G12"/>
    <mergeCell ref="H9:J9"/>
    <mergeCell ref="H10:J11"/>
    <mergeCell ref="H12:J12"/>
    <mergeCell ref="K9:M9"/>
    <mergeCell ref="K10:M11"/>
    <mergeCell ref="K12:M12"/>
    <mergeCell ref="N9:P9"/>
    <mergeCell ref="N10:P11"/>
    <mergeCell ref="N12:P12"/>
    <mergeCell ref="B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C66:P66"/>
    <mergeCell ref="C68:P68"/>
    <mergeCell ref="C70:P70"/>
    <mergeCell ref="C72:P72"/>
  </mergeCells>
  <conditionalFormatting sqref="G24:G26">
    <cfRule type="dataBar" priority="1">
      <dataBar>
        <cfvo type="num" val="0"/>
        <cfvo type="num" val="1"/>
        <color rgb="FFA995E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rintOptions horizontalCentered="1"/>
  <pageMargins left="0.35" right="0.35" top="0.6" bottom="0.55" header="0.3" footer="0.3"/>
  <pageSetup paperSize="9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G24:G26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33F8D"/>
    <pageSetUpPr fitToPage="1"/>
  </sheetPr>
  <dimension ref="A1:H108"/>
  <sheetViews>
    <sheetView showGridLines="0" workbookViewId="0"/>
  </sheetViews>
  <sheetFormatPr defaultRowHeight="15"/>
  <cols>
    <col min="1" max="1" width="3.140625" customWidth="1"/>
    <col min="2" max="2" width="24.7109375" customWidth="1"/>
    <col min="3" max="3" width="22.7109375" customWidth="1"/>
    <col min="4" max="4" width="12.7109375" customWidth="1"/>
    <col min="5" max="5" width="46.7109375" customWidth="1"/>
    <col min="6" max="6" width="24.7109375" customWidth="1"/>
    <col min="7" max="7" width="13.7109375" customWidth="1"/>
    <col min="8" max="8" width="3.140625" customWidth="1"/>
  </cols>
  <sheetData>
    <row r="1" spans="1:8" ht="12" customHeight="1">
      <c r="A1" s="1"/>
      <c r="B1" s="1"/>
      <c r="C1" s="1"/>
      <c r="D1" s="1"/>
      <c r="E1" s="1"/>
      <c r="F1" s="1"/>
      <c r="G1" s="1"/>
      <c r="H1" s="1"/>
    </row>
    <row r="2" spans="1:8" ht="40" customHeight="1">
      <c r="A2" s="1"/>
      <c r="B2" s="2" t="s">
        <v>36</v>
      </c>
      <c r="C2" s="1"/>
      <c r="D2" s="1"/>
      <c r="E2" s="1"/>
      <c r="F2" s="1"/>
      <c r="G2" s="1"/>
      <c r="H2" s="1"/>
    </row>
    <row r="3" spans="1:8" ht="22" customHeight="1">
      <c r="A3" s="1"/>
      <c r="B3" s="3" t="s">
        <v>1</v>
      </c>
      <c r="C3" s="1"/>
      <c r="D3" s="1"/>
      <c r="E3" s="1"/>
      <c r="F3" s="1"/>
      <c r="G3" s="1"/>
      <c r="H3" s="1"/>
    </row>
    <row r="4" spans="1:8" ht="20" customHeight="1">
      <c r="A4" s="1"/>
      <c r="B4" s="4" t="s">
        <v>2</v>
      </c>
      <c r="C4" s="1"/>
      <c r="D4" s="1"/>
      <c r="E4" s="1"/>
      <c r="F4" s="1"/>
      <c r="G4" s="1"/>
      <c r="H4" s="1"/>
    </row>
    <row r="5" spans="1:8" ht="5" customHeight="1">
      <c r="A5" s="5"/>
      <c r="B5" s="5"/>
      <c r="C5" s="5"/>
      <c r="D5" s="5"/>
      <c r="E5" s="5"/>
      <c r="F5" s="5"/>
      <c r="G5" s="5"/>
      <c r="H5" s="5"/>
    </row>
    <row r="7" spans="1:8" ht="27" customHeight="1">
      <c r="B7" s="6" t="s">
        <v>37</v>
      </c>
      <c r="C7" s="7"/>
      <c r="D7" s="7"/>
      <c r="E7" s="7"/>
      <c r="F7" s="7"/>
      <c r="G7" s="8" t="s">
        <v>38</v>
      </c>
    </row>
    <row r="8" spans="1:8" ht="36" customHeight="1">
      <c r="B8" s="19" t="s">
        <v>25</v>
      </c>
      <c r="C8" s="32" t="s">
        <v>39</v>
      </c>
      <c r="D8" s="32" t="s">
        <v>18</v>
      </c>
      <c r="E8" s="32" t="s">
        <v>40</v>
      </c>
      <c r="F8" s="32" t="s">
        <v>41</v>
      </c>
      <c r="G8" s="20" t="s">
        <v>42</v>
      </c>
    </row>
    <row r="9" spans="1:8" ht="19" customHeight="1">
      <c r="B9" s="21" t="s">
        <v>26</v>
      </c>
      <c r="C9" s="33" t="s">
        <v>43</v>
      </c>
      <c r="D9" s="33" t="s">
        <v>22</v>
      </c>
      <c r="E9" s="33" t="s">
        <v>44</v>
      </c>
      <c r="F9" s="33" t="s">
        <v>45</v>
      </c>
      <c r="G9" s="22">
        <v>1</v>
      </c>
    </row>
    <row r="10" spans="1:8" ht="19" customHeight="1">
      <c r="B10" s="24" t="s">
        <v>26</v>
      </c>
      <c r="C10" s="34" t="s">
        <v>43</v>
      </c>
      <c r="D10" s="34" t="s">
        <v>22</v>
      </c>
      <c r="E10" s="34" t="s">
        <v>46</v>
      </c>
      <c r="F10" s="34" t="s">
        <v>45</v>
      </c>
      <c r="G10" s="25">
        <v>1</v>
      </c>
    </row>
    <row r="11" spans="1:8" ht="19" customHeight="1">
      <c r="B11" s="21" t="s">
        <v>26</v>
      </c>
      <c r="C11" s="33" t="s">
        <v>43</v>
      </c>
      <c r="D11" s="33" t="s">
        <v>22</v>
      </c>
      <c r="E11" s="33" t="s">
        <v>47</v>
      </c>
      <c r="F11" s="33" t="s">
        <v>45</v>
      </c>
      <c r="G11" s="22">
        <v>1</v>
      </c>
    </row>
    <row r="12" spans="1:8" ht="19" customHeight="1">
      <c r="B12" s="24" t="s">
        <v>26</v>
      </c>
      <c r="C12" s="34" t="s">
        <v>43</v>
      </c>
      <c r="D12" s="34" t="s">
        <v>22</v>
      </c>
      <c r="E12" s="34" t="s">
        <v>48</v>
      </c>
      <c r="F12" s="34" t="s">
        <v>45</v>
      </c>
      <c r="G12" s="25">
        <v>1</v>
      </c>
    </row>
    <row r="13" spans="1:8" ht="19" customHeight="1">
      <c r="B13" s="21" t="s">
        <v>26</v>
      </c>
      <c r="C13" s="33" t="s">
        <v>43</v>
      </c>
      <c r="D13" s="33" t="s">
        <v>22</v>
      </c>
      <c r="E13" s="33" t="s">
        <v>49</v>
      </c>
      <c r="F13" s="33" t="s">
        <v>45</v>
      </c>
      <c r="G13" s="22">
        <v>1</v>
      </c>
    </row>
    <row r="14" spans="1:8" ht="19" customHeight="1">
      <c r="B14" s="24" t="s">
        <v>26</v>
      </c>
      <c r="C14" s="34" t="s">
        <v>43</v>
      </c>
      <c r="D14" s="34" t="s">
        <v>22</v>
      </c>
      <c r="E14" s="34" t="s">
        <v>50</v>
      </c>
      <c r="F14" s="34" t="s">
        <v>45</v>
      </c>
      <c r="G14" s="25">
        <v>1</v>
      </c>
    </row>
    <row r="15" spans="1:8" ht="19" customHeight="1">
      <c r="B15" s="21" t="s">
        <v>26</v>
      </c>
      <c r="C15" s="33" t="s">
        <v>43</v>
      </c>
      <c r="D15" s="33" t="s">
        <v>22</v>
      </c>
      <c r="E15" s="33" t="s">
        <v>51</v>
      </c>
      <c r="F15" s="33" t="s">
        <v>45</v>
      </c>
      <c r="G15" s="22">
        <v>1</v>
      </c>
    </row>
    <row r="16" spans="1:8" ht="19" customHeight="1">
      <c r="B16" s="24" t="s">
        <v>26</v>
      </c>
      <c r="C16" s="34" t="s">
        <v>43</v>
      </c>
      <c r="D16" s="34" t="s">
        <v>22</v>
      </c>
      <c r="E16" s="34" t="s">
        <v>52</v>
      </c>
      <c r="F16" s="34" t="s">
        <v>45</v>
      </c>
      <c r="G16" s="25">
        <v>1</v>
      </c>
    </row>
    <row r="17" spans="2:7" ht="19" customHeight="1">
      <c r="B17" s="21" t="s">
        <v>26</v>
      </c>
      <c r="C17" s="33" t="s">
        <v>43</v>
      </c>
      <c r="D17" s="33" t="s">
        <v>22</v>
      </c>
      <c r="E17" s="33" t="s">
        <v>53</v>
      </c>
      <c r="F17" s="33" t="s">
        <v>45</v>
      </c>
      <c r="G17" s="22">
        <v>1</v>
      </c>
    </row>
    <row r="18" spans="2:7" ht="19" customHeight="1">
      <c r="B18" s="24" t="s">
        <v>26</v>
      </c>
      <c r="C18" s="34" t="s">
        <v>54</v>
      </c>
      <c r="D18" s="34" t="s">
        <v>22</v>
      </c>
      <c r="E18" s="34" t="s">
        <v>55</v>
      </c>
      <c r="F18" s="34" t="s">
        <v>45</v>
      </c>
      <c r="G18" s="25">
        <v>1</v>
      </c>
    </row>
    <row r="19" spans="2:7" ht="19" customHeight="1">
      <c r="B19" s="21" t="s">
        <v>26</v>
      </c>
      <c r="C19" s="33" t="s">
        <v>54</v>
      </c>
      <c r="D19" s="33" t="s">
        <v>22</v>
      </c>
      <c r="E19" s="33" t="s">
        <v>56</v>
      </c>
      <c r="F19" s="33" t="s">
        <v>45</v>
      </c>
      <c r="G19" s="22">
        <v>1</v>
      </c>
    </row>
    <row r="20" spans="2:7" ht="19" customHeight="1">
      <c r="B20" s="24" t="s">
        <v>26</v>
      </c>
      <c r="C20" s="34" t="s">
        <v>54</v>
      </c>
      <c r="D20" s="34" t="s">
        <v>22</v>
      </c>
      <c r="E20" s="34" t="s">
        <v>57</v>
      </c>
      <c r="F20" s="34" t="s">
        <v>45</v>
      </c>
      <c r="G20" s="25">
        <v>1</v>
      </c>
    </row>
    <row r="21" spans="2:7" ht="19" customHeight="1">
      <c r="B21" s="21" t="s">
        <v>26</v>
      </c>
      <c r="C21" s="33" t="s">
        <v>58</v>
      </c>
      <c r="D21" s="33" t="s">
        <v>21</v>
      </c>
      <c r="E21" s="33" t="s">
        <v>58</v>
      </c>
      <c r="F21" s="33" t="s">
        <v>59</v>
      </c>
      <c r="G21" s="22">
        <v>1</v>
      </c>
    </row>
    <row r="22" spans="2:7" ht="19" customHeight="1">
      <c r="B22" s="24" t="s">
        <v>26</v>
      </c>
      <c r="C22" s="34" t="s">
        <v>58</v>
      </c>
      <c r="D22" s="34" t="s">
        <v>21</v>
      </c>
      <c r="E22" s="34" t="s">
        <v>58</v>
      </c>
      <c r="F22" s="34" t="s">
        <v>59</v>
      </c>
      <c r="G22" s="25">
        <v>1</v>
      </c>
    </row>
    <row r="23" spans="2:7" ht="19" customHeight="1">
      <c r="B23" s="21" t="s">
        <v>26</v>
      </c>
      <c r="C23" s="33" t="s">
        <v>58</v>
      </c>
      <c r="D23" s="33" t="s">
        <v>21</v>
      </c>
      <c r="E23" s="33" t="s">
        <v>58</v>
      </c>
      <c r="F23" s="33" t="s">
        <v>59</v>
      </c>
      <c r="G23" s="22">
        <v>1</v>
      </c>
    </row>
    <row r="24" spans="2:7" ht="19" customHeight="1">
      <c r="B24" s="24" t="s">
        <v>26</v>
      </c>
      <c r="C24" s="34" t="s">
        <v>58</v>
      </c>
      <c r="D24" s="34" t="s">
        <v>21</v>
      </c>
      <c r="E24" s="34" t="s">
        <v>58</v>
      </c>
      <c r="F24" s="34" t="s">
        <v>59</v>
      </c>
      <c r="G24" s="25">
        <v>1</v>
      </c>
    </row>
    <row r="25" spans="2:7" ht="19" customHeight="1">
      <c r="B25" s="21" t="s">
        <v>26</v>
      </c>
      <c r="C25" s="33" t="s">
        <v>58</v>
      </c>
      <c r="D25" s="33" t="s">
        <v>21</v>
      </c>
      <c r="E25" s="33" t="s">
        <v>58</v>
      </c>
      <c r="F25" s="33" t="s">
        <v>59</v>
      </c>
      <c r="G25" s="22">
        <v>1</v>
      </c>
    </row>
    <row r="26" spans="2:7" ht="19" customHeight="1">
      <c r="B26" s="24" t="s">
        <v>26</v>
      </c>
      <c r="C26" s="34" t="s">
        <v>58</v>
      </c>
      <c r="D26" s="34" t="s">
        <v>21</v>
      </c>
      <c r="E26" s="34" t="s">
        <v>58</v>
      </c>
      <c r="F26" s="34" t="s">
        <v>59</v>
      </c>
      <c r="G26" s="25">
        <v>1</v>
      </c>
    </row>
    <row r="27" spans="2:7" ht="19" customHeight="1">
      <c r="B27" s="21" t="s">
        <v>26</v>
      </c>
      <c r="C27" s="33" t="s">
        <v>58</v>
      </c>
      <c r="D27" s="33" t="s">
        <v>21</v>
      </c>
      <c r="E27" s="33" t="s">
        <v>58</v>
      </c>
      <c r="F27" s="33" t="s">
        <v>59</v>
      </c>
      <c r="G27" s="22">
        <v>1</v>
      </c>
    </row>
    <row r="28" spans="2:7" ht="19" customHeight="1">
      <c r="B28" s="24" t="s">
        <v>26</v>
      </c>
      <c r="C28" s="34" t="s">
        <v>58</v>
      </c>
      <c r="D28" s="34" t="s">
        <v>21</v>
      </c>
      <c r="E28" s="34" t="s">
        <v>58</v>
      </c>
      <c r="F28" s="34" t="s">
        <v>59</v>
      </c>
      <c r="G28" s="25">
        <v>1</v>
      </c>
    </row>
    <row r="29" spans="2:7" ht="19" customHeight="1">
      <c r="B29" s="21" t="s">
        <v>26</v>
      </c>
      <c r="C29" s="33" t="s">
        <v>58</v>
      </c>
      <c r="D29" s="33" t="s">
        <v>21</v>
      </c>
      <c r="E29" s="33" t="s">
        <v>58</v>
      </c>
      <c r="F29" s="33" t="s">
        <v>59</v>
      </c>
      <c r="G29" s="22">
        <v>1</v>
      </c>
    </row>
    <row r="30" spans="2:7" ht="19" customHeight="1">
      <c r="B30" s="24" t="s">
        <v>26</v>
      </c>
      <c r="C30" s="34" t="s">
        <v>58</v>
      </c>
      <c r="D30" s="34" t="s">
        <v>21</v>
      </c>
      <c r="E30" s="34" t="s">
        <v>58</v>
      </c>
      <c r="F30" s="34" t="s">
        <v>59</v>
      </c>
      <c r="G30" s="25">
        <v>1</v>
      </c>
    </row>
    <row r="31" spans="2:7" ht="19" customHeight="1">
      <c r="B31" s="21" t="s">
        <v>26</v>
      </c>
      <c r="C31" s="33" t="s">
        <v>58</v>
      </c>
      <c r="D31" s="33" t="s">
        <v>21</v>
      </c>
      <c r="E31" s="33" t="s">
        <v>58</v>
      </c>
      <c r="F31" s="33" t="s">
        <v>59</v>
      </c>
      <c r="G31" s="22">
        <v>1</v>
      </c>
    </row>
    <row r="32" spans="2:7" ht="19" customHeight="1">
      <c r="B32" s="24" t="s">
        <v>26</v>
      </c>
      <c r="C32" s="34" t="s">
        <v>58</v>
      </c>
      <c r="D32" s="34" t="s">
        <v>21</v>
      </c>
      <c r="E32" s="34" t="s">
        <v>58</v>
      </c>
      <c r="F32" s="34" t="s">
        <v>59</v>
      </c>
      <c r="G32" s="25">
        <v>1</v>
      </c>
    </row>
    <row r="33" spans="2:7" ht="19" customHeight="1">
      <c r="B33" s="21" t="s">
        <v>26</v>
      </c>
      <c r="C33" s="33" t="s">
        <v>58</v>
      </c>
      <c r="D33" s="33" t="s">
        <v>21</v>
      </c>
      <c r="E33" s="33" t="s">
        <v>58</v>
      </c>
      <c r="F33" s="33" t="s">
        <v>59</v>
      </c>
      <c r="G33" s="22">
        <v>1</v>
      </c>
    </row>
    <row r="34" spans="2:7" ht="19" customHeight="1">
      <c r="B34" s="24" t="s">
        <v>26</v>
      </c>
      <c r="C34" s="34" t="s">
        <v>58</v>
      </c>
      <c r="D34" s="34" t="s">
        <v>21</v>
      </c>
      <c r="E34" s="34" t="s">
        <v>58</v>
      </c>
      <c r="F34" s="34" t="s">
        <v>59</v>
      </c>
      <c r="G34" s="25">
        <v>1</v>
      </c>
    </row>
    <row r="35" spans="2:7" ht="19" customHeight="1">
      <c r="B35" s="21" t="s">
        <v>26</v>
      </c>
      <c r="C35" s="33" t="s">
        <v>58</v>
      </c>
      <c r="D35" s="33" t="s">
        <v>21</v>
      </c>
      <c r="E35" s="33" t="s">
        <v>58</v>
      </c>
      <c r="F35" s="33" t="s">
        <v>59</v>
      </c>
      <c r="G35" s="22">
        <v>1</v>
      </c>
    </row>
    <row r="36" spans="2:7" ht="19" customHeight="1">
      <c r="B36" s="24" t="s">
        <v>26</v>
      </c>
      <c r="C36" s="34" t="s">
        <v>58</v>
      </c>
      <c r="D36" s="34" t="s">
        <v>21</v>
      </c>
      <c r="E36" s="34" t="s">
        <v>58</v>
      </c>
      <c r="F36" s="34" t="s">
        <v>59</v>
      </c>
      <c r="G36" s="25">
        <v>1</v>
      </c>
    </row>
    <row r="37" spans="2:7" ht="19" customHeight="1">
      <c r="B37" s="21" t="s">
        <v>26</v>
      </c>
      <c r="C37" s="33" t="s">
        <v>58</v>
      </c>
      <c r="D37" s="33" t="s">
        <v>21</v>
      </c>
      <c r="E37" s="33" t="s">
        <v>58</v>
      </c>
      <c r="F37" s="33" t="s">
        <v>59</v>
      </c>
      <c r="G37" s="22">
        <v>1</v>
      </c>
    </row>
    <row r="38" spans="2:7" ht="19" customHeight="1">
      <c r="B38" s="24" t="s">
        <v>26</v>
      </c>
      <c r="C38" s="34" t="s">
        <v>58</v>
      </c>
      <c r="D38" s="34" t="s">
        <v>21</v>
      </c>
      <c r="E38" s="34" t="s">
        <v>58</v>
      </c>
      <c r="F38" s="34" t="s">
        <v>59</v>
      </c>
      <c r="G38" s="25">
        <v>1</v>
      </c>
    </row>
    <row r="39" spans="2:7" ht="19" customHeight="1">
      <c r="B39" s="21" t="s">
        <v>26</v>
      </c>
      <c r="C39" s="33" t="s">
        <v>58</v>
      </c>
      <c r="D39" s="33" t="s">
        <v>21</v>
      </c>
      <c r="E39" s="33" t="s">
        <v>58</v>
      </c>
      <c r="F39" s="33" t="s">
        <v>59</v>
      </c>
      <c r="G39" s="22">
        <v>1</v>
      </c>
    </row>
    <row r="40" spans="2:7" ht="19" customHeight="1">
      <c r="B40" s="24" t="s">
        <v>26</v>
      </c>
      <c r="C40" s="34" t="s">
        <v>58</v>
      </c>
      <c r="D40" s="34" t="s">
        <v>21</v>
      </c>
      <c r="E40" s="34" t="s">
        <v>58</v>
      </c>
      <c r="F40" s="34" t="s">
        <v>59</v>
      </c>
      <c r="G40" s="25">
        <v>1</v>
      </c>
    </row>
    <row r="41" spans="2:7" ht="19" customHeight="1">
      <c r="B41" s="21" t="s">
        <v>26</v>
      </c>
      <c r="C41" s="33" t="s">
        <v>58</v>
      </c>
      <c r="D41" s="33" t="s">
        <v>21</v>
      </c>
      <c r="E41" s="33" t="s">
        <v>58</v>
      </c>
      <c r="F41" s="33" t="s">
        <v>59</v>
      </c>
      <c r="G41" s="22">
        <v>1</v>
      </c>
    </row>
    <row r="42" spans="2:7" ht="19" customHeight="1">
      <c r="B42" s="24" t="s">
        <v>26</v>
      </c>
      <c r="C42" s="34" t="s">
        <v>58</v>
      </c>
      <c r="D42" s="34" t="s">
        <v>21</v>
      </c>
      <c r="E42" s="34" t="s">
        <v>58</v>
      </c>
      <c r="F42" s="34" t="s">
        <v>59</v>
      </c>
      <c r="G42" s="25">
        <v>1</v>
      </c>
    </row>
    <row r="43" spans="2:7" ht="19" customHeight="1">
      <c r="B43" s="21" t="s">
        <v>26</v>
      </c>
      <c r="C43" s="33" t="s">
        <v>58</v>
      </c>
      <c r="D43" s="33" t="s">
        <v>21</v>
      </c>
      <c r="E43" s="33" t="s">
        <v>58</v>
      </c>
      <c r="F43" s="33" t="s">
        <v>59</v>
      </c>
      <c r="G43" s="22">
        <v>1</v>
      </c>
    </row>
    <row r="44" spans="2:7" ht="19" customHeight="1">
      <c r="B44" s="24" t="s">
        <v>26</v>
      </c>
      <c r="C44" s="34" t="s">
        <v>58</v>
      </c>
      <c r="D44" s="34" t="s">
        <v>21</v>
      </c>
      <c r="E44" s="34" t="s">
        <v>58</v>
      </c>
      <c r="F44" s="34" t="s">
        <v>59</v>
      </c>
      <c r="G44" s="25">
        <v>1</v>
      </c>
    </row>
    <row r="45" spans="2:7" ht="19" customHeight="1">
      <c r="B45" s="21" t="s">
        <v>26</v>
      </c>
      <c r="C45" s="33" t="s">
        <v>58</v>
      </c>
      <c r="D45" s="33" t="s">
        <v>21</v>
      </c>
      <c r="E45" s="33" t="s">
        <v>58</v>
      </c>
      <c r="F45" s="33" t="s">
        <v>59</v>
      </c>
      <c r="G45" s="22">
        <v>1</v>
      </c>
    </row>
    <row r="46" spans="2:7" ht="19" customHeight="1">
      <c r="B46" s="24" t="s">
        <v>26</v>
      </c>
      <c r="C46" s="34" t="s">
        <v>58</v>
      </c>
      <c r="D46" s="34" t="s">
        <v>21</v>
      </c>
      <c r="E46" s="34" t="s">
        <v>58</v>
      </c>
      <c r="F46" s="34" t="s">
        <v>59</v>
      </c>
      <c r="G46" s="25">
        <v>1</v>
      </c>
    </row>
    <row r="47" spans="2:7" ht="19" customHeight="1">
      <c r="B47" s="21" t="s">
        <v>26</v>
      </c>
      <c r="C47" s="33" t="s">
        <v>58</v>
      </c>
      <c r="D47" s="33" t="s">
        <v>21</v>
      </c>
      <c r="E47" s="33" t="s">
        <v>58</v>
      </c>
      <c r="F47" s="33" t="s">
        <v>59</v>
      </c>
      <c r="G47" s="22">
        <v>1</v>
      </c>
    </row>
    <row r="48" spans="2:7" ht="19" customHeight="1">
      <c r="B48" s="24" t="s">
        <v>26</v>
      </c>
      <c r="C48" s="34" t="s">
        <v>58</v>
      </c>
      <c r="D48" s="34" t="s">
        <v>21</v>
      </c>
      <c r="E48" s="34" t="s">
        <v>58</v>
      </c>
      <c r="F48" s="34" t="s">
        <v>59</v>
      </c>
      <c r="G48" s="25">
        <v>1</v>
      </c>
    </row>
    <row r="49" spans="2:7" ht="19" customHeight="1">
      <c r="B49" s="21" t="s">
        <v>26</v>
      </c>
      <c r="C49" s="33" t="s">
        <v>58</v>
      </c>
      <c r="D49" s="33" t="s">
        <v>21</v>
      </c>
      <c r="E49" s="33" t="s">
        <v>58</v>
      </c>
      <c r="F49" s="33" t="s">
        <v>59</v>
      </c>
      <c r="G49" s="22">
        <v>1</v>
      </c>
    </row>
    <row r="50" spans="2:7" ht="19" customHeight="1">
      <c r="B50" s="24" t="s">
        <v>26</v>
      </c>
      <c r="C50" s="34" t="s">
        <v>58</v>
      </c>
      <c r="D50" s="34" t="s">
        <v>21</v>
      </c>
      <c r="E50" s="34" t="s">
        <v>58</v>
      </c>
      <c r="F50" s="34" t="s">
        <v>59</v>
      </c>
      <c r="G50" s="25">
        <v>1</v>
      </c>
    </row>
    <row r="51" spans="2:7" ht="19" customHeight="1">
      <c r="B51" s="21" t="s">
        <v>26</v>
      </c>
      <c r="C51" s="33" t="s">
        <v>58</v>
      </c>
      <c r="D51" s="33" t="s">
        <v>21</v>
      </c>
      <c r="E51" s="33" t="s">
        <v>58</v>
      </c>
      <c r="F51" s="33" t="s">
        <v>59</v>
      </c>
      <c r="G51" s="22">
        <v>1</v>
      </c>
    </row>
    <row r="52" spans="2:7" ht="19" customHeight="1">
      <c r="B52" s="24" t="s">
        <v>26</v>
      </c>
      <c r="C52" s="34" t="s">
        <v>58</v>
      </c>
      <c r="D52" s="34" t="s">
        <v>21</v>
      </c>
      <c r="E52" s="34" t="s">
        <v>58</v>
      </c>
      <c r="F52" s="34" t="s">
        <v>59</v>
      </c>
      <c r="G52" s="25">
        <v>1</v>
      </c>
    </row>
    <row r="53" spans="2:7" ht="19" customHeight="1">
      <c r="B53" s="21" t="s">
        <v>26</v>
      </c>
      <c r="C53" s="33" t="s">
        <v>58</v>
      </c>
      <c r="D53" s="33" t="s">
        <v>21</v>
      </c>
      <c r="E53" s="33" t="s">
        <v>58</v>
      </c>
      <c r="F53" s="33" t="s">
        <v>59</v>
      </c>
      <c r="G53" s="22">
        <v>1</v>
      </c>
    </row>
    <row r="54" spans="2:7" ht="19" customHeight="1">
      <c r="B54" s="24" t="s">
        <v>26</v>
      </c>
      <c r="C54" s="34" t="s">
        <v>58</v>
      </c>
      <c r="D54" s="34" t="s">
        <v>21</v>
      </c>
      <c r="E54" s="34" t="s">
        <v>58</v>
      </c>
      <c r="F54" s="34" t="s">
        <v>59</v>
      </c>
      <c r="G54" s="25">
        <v>1</v>
      </c>
    </row>
    <row r="55" spans="2:7" ht="19" customHeight="1">
      <c r="B55" s="21" t="s">
        <v>26</v>
      </c>
      <c r="C55" s="33" t="s">
        <v>58</v>
      </c>
      <c r="D55" s="33" t="s">
        <v>21</v>
      </c>
      <c r="E55" s="33" t="s">
        <v>58</v>
      </c>
      <c r="F55" s="33" t="s">
        <v>59</v>
      </c>
      <c r="G55" s="22">
        <v>1</v>
      </c>
    </row>
    <row r="56" spans="2:7" ht="19" customHeight="1">
      <c r="B56" s="24" t="s">
        <v>26</v>
      </c>
      <c r="C56" s="34" t="s">
        <v>58</v>
      </c>
      <c r="D56" s="34" t="s">
        <v>21</v>
      </c>
      <c r="E56" s="34" t="s">
        <v>58</v>
      </c>
      <c r="F56" s="34" t="s">
        <v>59</v>
      </c>
      <c r="G56" s="25">
        <v>1</v>
      </c>
    </row>
    <row r="57" spans="2:7" ht="19" customHeight="1">
      <c r="B57" s="21" t="s">
        <v>26</v>
      </c>
      <c r="C57" s="33" t="s">
        <v>58</v>
      </c>
      <c r="D57" s="33" t="s">
        <v>21</v>
      </c>
      <c r="E57" s="33" t="s">
        <v>58</v>
      </c>
      <c r="F57" s="33" t="s">
        <v>59</v>
      </c>
      <c r="G57" s="22">
        <v>1</v>
      </c>
    </row>
    <row r="58" spans="2:7" ht="19" customHeight="1">
      <c r="B58" s="24" t="s">
        <v>26</v>
      </c>
      <c r="C58" s="34" t="s">
        <v>58</v>
      </c>
      <c r="D58" s="34" t="s">
        <v>21</v>
      </c>
      <c r="E58" s="34" t="s">
        <v>58</v>
      </c>
      <c r="F58" s="34" t="s">
        <v>59</v>
      </c>
      <c r="G58" s="25">
        <v>1</v>
      </c>
    </row>
    <row r="59" spans="2:7" ht="19" customHeight="1">
      <c r="B59" s="21" t="s">
        <v>26</v>
      </c>
      <c r="C59" s="33" t="s">
        <v>58</v>
      </c>
      <c r="D59" s="33" t="s">
        <v>21</v>
      </c>
      <c r="E59" s="33" t="s">
        <v>58</v>
      </c>
      <c r="F59" s="33" t="s">
        <v>59</v>
      </c>
      <c r="G59" s="22">
        <v>1</v>
      </c>
    </row>
    <row r="60" spans="2:7" ht="19" customHeight="1">
      <c r="B60" s="24" t="s">
        <v>26</v>
      </c>
      <c r="C60" s="34" t="s">
        <v>58</v>
      </c>
      <c r="D60" s="34" t="s">
        <v>21</v>
      </c>
      <c r="E60" s="34" t="s">
        <v>58</v>
      </c>
      <c r="F60" s="34" t="s">
        <v>59</v>
      </c>
      <c r="G60" s="25">
        <v>1</v>
      </c>
    </row>
    <row r="61" spans="2:7" ht="19" customHeight="1">
      <c r="B61" s="21" t="s">
        <v>26</v>
      </c>
      <c r="C61" s="33" t="s">
        <v>58</v>
      </c>
      <c r="D61" s="33" t="s">
        <v>21</v>
      </c>
      <c r="E61" s="33" t="s">
        <v>58</v>
      </c>
      <c r="F61" s="33" t="s">
        <v>59</v>
      </c>
      <c r="G61" s="22">
        <v>1</v>
      </c>
    </row>
    <row r="62" spans="2:7" ht="19" customHeight="1">
      <c r="B62" s="24" t="s">
        <v>26</v>
      </c>
      <c r="C62" s="34" t="s">
        <v>58</v>
      </c>
      <c r="D62" s="34" t="s">
        <v>21</v>
      </c>
      <c r="E62" s="34" t="s">
        <v>58</v>
      </c>
      <c r="F62" s="34" t="s">
        <v>59</v>
      </c>
      <c r="G62" s="25">
        <v>1</v>
      </c>
    </row>
    <row r="63" spans="2:7" ht="19" customHeight="1">
      <c r="B63" s="21" t="s">
        <v>26</v>
      </c>
      <c r="C63" s="33" t="s">
        <v>58</v>
      </c>
      <c r="D63" s="33" t="s">
        <v>21</v>
      </c>
      <c r="E63" s="33" t="s">
        <v>58</v>
      </c>
      <c r="F63" s="33" t="s">
        <v>59</v>
      </c>
      <c r="G63" s="22">
        <v>1</v>
      </c>
    </row>
    <row r="64" spans="2:7" ht="19" customHeight="1">
      <c r="B64" s="24" t="s">
        <v>26</v>
      </c>
      <c r="C64" s="34" t="s">
        <v>58</v>
      </c>
      <c r="D64" s="34" t="s">
        <v>21</v>
      </c>
      <c r="E64" s="34" t="s">
        <v>58</v>
      </c>
      <c r="F64" s="34" t="s">
        <v>59</v>
      </c>
      <c r="G64" s="25">
        <v>1</v>
      </c>
    </row>
    <row r="65" spans="2:7" ht="19" customHeight="1">
      <c r="B65" s="21" t="s">
        <v>26</v>
      </c>
      <c r="C65" s="33" t="s">
        <v>58</v>
      </c>
      <c r="D65" s="33" t="s">
        <v>21</v>
      </c>
      <c r="E65" s="33" t="s">
        <v>58</v>
      </c>
      <c r="F65" s="33" t="s">
        <v>59</v>
      </c>
      <c r="G65" s="22">
        <v>1</v>
      </c>
    </row>
    <row r="66" spans="2:7" ht="19" customHeight="1">
      <c r="B66" s="24" t="s">
        <v>26</v>
      </c>
      <c r="C66" s="34" t="s">
        <v>58</v>
      </c>
      <c r="D66" s="34" t="s">
        <v>21</v>
      </c>
      <c r="E66" s="34" t="s">
        <v>58</v>
      </c>
      <c r="F66" s="34" t="s">
        <v>59</v>
      </c>
      <c r="G66" s="25">
        <v>1</v>
      </c>
    </row>
    <row r="67" spans="2:7" ht="19" customHeight="1">
      <c r="B67" s="21" t="s">
        <v>26</v>
      </c>
      <c r="C67" s="33" t="s">
        <v>58</v>
      </c>
      <c r="D67" s="33" t="s">
        <v>21</v>
      </c>
      <c r="E67" s="33" t="s">
        <v>58</v>
      </c>
      <c r="F67" s="33" t="s">
        <v>59</v>
      </c>
      <c r="G67" s="22">
        <v>1</v>
      </c>
    </row>
    <row r="68" spans="2:7" ht="19" customHeight="1">
      <c r="B68" s="24" t="s">
        <v>26</v>
      </c>
      <c r="C68" s="34" t="s">
        <v>58</v>
      </c>
      <c r="D68" s="34" t="s">
        <v>21</v>
      </c>
      <c r="E68" s="34" t="s">
        <v>58</v>
      </c>
      <c r="F68" s="34" t="s">
        <v>59</v>
      </c>
      <c r="G68" s="25">
        <v>1</v>
      </c>
    </row>
    <row r="69" spans="2:7" ht="19" customHeight="1">
      <c r="B69" s="21" t="s">
        <v>26</v>
      </c>
      <c r="C69" s="33" t="s">
        <v>58</v>
      </c>
      <c r="D69" s="33" t="s">
        <v>21</v>
      </c>
      <c r="E69" s="33" t="s">
        <v>58</v>
      </c>
      <c r="F69" s="33" t="s">
        <v>59</v>
      </c>
      <c r="G69" s="22">
        <v>1</v>
      </c>
    </row>
    <row r="70" spans="2:7" ht="19" customHeight="1">
      <c r="B70" s="24" t="s">
        <v>26</v>
      </c>
      <c r="C70" s="34" t="s">
        <v>58</v>
      </c>
      <c r="D70" s="34" t="s">
        <v>21</v>
      </c>
      <c r="E70" s="34" t="s">
        <v>58</v>
      </c>
      <c r="F70" s="34" t="s">
        <v>59</v>
      </c>
      <c r="G70" s="25">
        <v>1</v>
      </c>
    </row>
    <row r="71" spans="2:7" ht="19" customHeight="1">
      <c r="B71" s="21" t="s">
        <v>26</v>
      </c>
      <c r="C71" s="33" t="s">
        <v>58</v>
      </c>
      <c r="D71" s="33" t="s">
        <v>21</v>
      </c>
      <c r="E71" s="33" t="s">
        <v>58</v>
      </c>
      <c r="F71" s="33" t="s">
        <v>59</v>
      </c>
      <c r="G71" s="22">
        <v>1</v>
      </c>
    </row>
    <row r="72" spans="2:7" ht="19" customHeight="1">
      <c r="B72" s="24" t="s">
        <v>26</v>
      </c>
      <c r="C72" s="34" t="s">
        <v>58</v>
      </c>
      <c r="D72" s="34" t="s">
        <v>21</v>
      </c>
      <c r="E72" s="34" t="s">
        <v>58</v>
      </c>
      <c r="F72" s="34" t="s">
        <v>59</v>
      </c>
      <c r="G72" s="25">
        <v>1</v>
      </c>
    </row>
    <row r="73" spans="2:7" ht="19" customHeight="1">
      <c r="B73" s="21" t="s">
        <v>26</v>
      </c>
      <c r="C73" s="33" t="s">
        <v>58</v>
      </c>
      <c r="D73" s="33" t="s">
        <v>21</v>
      </c>
      <c r="E73" s="33" t="s">
        <v>58</v>
      </c>
      <c r="F73" s="33" t="s">
        <v>59</v>
      </c>
      <c r="G73" s="22">
        <v>1</v>
      </c>
    </row>
    <row r="74" spans="2:7" ht="19" customHeight="1">
      <c r="B74" s="24" t="s">
        <v>26</v>
      </c>
      <c r="C74" s="34" t="s">
        <v>58</v>
      </c>
      <c r="D74" s="34" t="s">
        <v>21</v>
      </c>
      <c r="E74" s="34" t="s">
        <v>58</v>
      </c>
      <c r="F74" s="34" t="s">
        <v>59</v>
      </c>
      <c r="G74" s="25">
        <v>1</v>
      </c>
    </row>
    <row r="75" spans="2:7" ht="19" customHeight="1">
      <c r="B75" s="21" t="s">
        <v>26</v>
      </c>
      <c r="C75" s="33" t="s">
        <v>58</v>
      </c>
      <c r="D75" s="33" t="s">
        <v>21</v>
      </c>
      <c r="E75" s="33" t="s">
        <v>58</v>
      </c>
      <c r="F75" s="33" t="s">
        <v>59</v>
      </c>
      <c r="G75" s="22">
        <v>1</v>
      </c>
    </row>
    <row r="76" spans="2:7" ht="19" customHeight="1">
      <c r="B76" s="24" t="s">
        <v>26</v>
      </c>
      <c r="C76" s="34" t="s">
        <v>58</v>
      </c>
      <c r="D76" s="34" t="s">
        <v>21</v>
      </c>
      <c r="E76" s="34" t="s">
        <v>58</v>
      </c>
      <c r="F76" s="34" t="s">
        <v>59</v>
      </c>
      <c r="G76" s="25">
        <v>1</v>
      </c>
    </row>
    <row r="77" spans="2:7" ht="19" customHeight="1">
      <c r="B77" s="21" t="s">
        <v>26</v>
      </c>
      <c r="C77" s="33" t="s">
        <v>58</v>
      </c>
      <c r="D77" s="33" t="s">
        <v>21</v>
      </c>
      <c r="E77" s="33" t="s">
        <v>58</v>
      </c>
      <c r="F77" s="33" t="s">
        <v>59</v>
      </c>
      <c r="G77" s="22">
        <v>1</v>
      </c>
    </row>
    <row r="78" spans="2:7" ht="19" customHeight="1">
      <c r="B78" s="24" t="s">
        <v>26</v>
      </c>
      <c r="C78" s="34" t="s">
        <v>58</v>
      </c>
      <c r="D78" s="34" t="s">
        <v>21</v>
      </c>
      <c r="E78" s="34" t="s">
        <v>58</v>
      </c>
      <c r="F78" s="34" t="s">
        <v>59</v>
      </c>
      <c r="G78" s="25">
        <v>1</v>
      </c>
    </row>
    <row r="79" spans="2:7" ht="19" customHeight="1">
      <c r="B79" s="21" t="s">
        <v>26</v>
      </c>
      <c r="C79" s="33" t="s">
        <v>58</v>
      </c>
      <c r="D79" s="33" t="s">
        <v>21</v>
      </c>
      <c r="E79" s="33" t="s">
        <v>58</v>
      </c>
      <c r="F79" s="33" t="s">
        <v>59</v>
      </c>
      <c r="G79" s="22">
        <v>1</v>
      </c>
    </row>
    <row r="80" spans="2:7" ht="19" customHeight="1">
      <c r="B80" s="24" t="s">
        <v>26</v>
      </c>
      <c r="C80" s="34" t="s">
        <v>58</v>
      </c>
      <c r="D80" s="34" t="s">
        <v>21</v>
      </c>
      <c r="E80" s="34" t="s">
        <v>58</v>
      </c>
      <c r="F80" s="34" t="s">
        <v>59</v>
      </c>
      <c r="G80" s="25">
        <v>1</v>
      </c>
    </row>
    <row r="81" spans="2:7" ht="19" customHeight="1">
      <c r="B81" s="21" t="s">
        <v>26</v>
      </c>
      <c r="C81" s="33" t="s">
        <v>58</v>
      </c>
      <c r="D81" s="33" t="s">
        <v>21</v>
      </c>
      <c r="E81" s="33" t="s">
        <v>58</v>
      </c>
      <c r="F81" s="33" t="s">
        <v>59</v>
      </c>
      <c r="G81" s="22">
        <v>1</v>
      </c>
    </row>
    <row r="82" spans="2:7" ht="19" customHeight="1">
      <c r="B82" s="24" t="s">
        <v>26</v>
      </c>
      <c r="C82" s="34" t="s">
        <v>58</v>
      </c>
      <c r="D82" s="34" t="s">
        <v>21</v>
      </c>
      <c r="E82" s="34" t="s">
        <v>58</v>
      </c>
      <c r="F82" s="34" t="s">
        <v>59</v>
      </c>
      <c r="G82" s="25">
        <v>1</v>
      </c>
    </row>
    <row r="83" spans="2:7" ht="19" customHeight="1">
      <c r="B83" s="21" t="s">
        <v>26</v>
      </c>
      <c r="C83" s="33" t="s">
        <v>58</v>
      </c>
      <c r="D83" s="33" t="s">
        <v>21</v>
      </c>
      <c r="E83" s="33" t="s">
        <v>58</v>
      </c>
      <c r="F83" s="33" t="s">
        <v>59</v>
      </c>
      <c r="G83" s="22">
        <v>1</v>
      </c>
    </row>
    <row r="84" spans="2:7" ht="19" customHeight="1">
      <c r="B84" s="24" t="s">
        <v>27</v>
      </c>
      <c r="C84" s="34" t="s">
        <v>60</v>
      </c>
      <c r="D84" s="34" t="s">
        <v>22</v>
      </c>
      <c r="E84" s="34" t="s">
        <v>61</v>
      </c>
      <c r="F84" s="34" t="s">
        <v>45</v>
      </c>
      <c r="G84" s="25">
        <v>1</v>
      </c>
    </row>
    <row r="85" spans="2:7" ht="19" customHeight="1">
      <c r="B85" s="21" t="s">
        <v>27</v>
      </c>
      <c r="C85" s="33" t="s">
        <v>60</v>
      </c>
      <c r="D85" s="33" t="s">
        <v>22</v>
      </c>
      <c r="E85" s="33" t="s">
        <v>62</v>
      </c>
      <c r="F85" s="33" t="s">
        <v>45</v>
      </c>
      <c r="G85" s="22">
        <v>1</v>
      </c>
    </row>
    <row r="86" spans="2:7" ht="19" customHeight="1">
      <c r="B86" s="24" t="s">
        <v>27</v>
      </c>
      <c r="C86" s="34" t="s">
        <v>60</v>
      </c>
      <c r="D86" s="34" t="s">
        <v>22</v>
      </c>
      <c r="E86" s="34" t="s">
        <v>63</v>
      </c>
      <c r="F86" s="34" t="s">
        <v>45</v>
      </c>
      <c r="G86" s="25">
        <v>1</v>
      </c>
    </row>
    <row r="87" spans="2:7" ht="19" customHeight="1">
      <c r="B87" s="21" t="s">
        <v>27</v>
      </c>
      <c r="C87" s="33" t="s">
        <v>60</v>
      </c>
      <c r="D87" s="33" t="s">
        <v>22</v>
      </c>
      <c r="E87" s="33" t="s">
        <v>64</v>
      </c>
      <c r="F87" s="33" t="s">
        <v>45</v>
      </c>
      <c r="G87" s="22">
        <v>1</v>
      </c>
    </row>
    <row r="88" spans="2:7" ht="19" customHeight="1">
      <c r="B88" s="24" t="s">
        <v>27</v>
      </c>
      <c r="C88" s="34" t="s">
        <v>60</v>
      </c>
      <c r="D88" s="34" t="s">
        <v>22</v>
      </c>
      <c r="E88" s="34" t="s">
        <v>65</v>
      </c>
      <c r="F88" s="34" t="s">
        <v>45</v>
      </c>
      <c r="G88" s="25">
        <v>1</v>
      </c>
    </row>
    <row r="89" spans="2:7" ht="19" customHeight="1">
      <c r="B89" s="21" t="s">
        <v>27</v>
      </c>
      <c r="C89" s="33" t="s">
        <v>60</v>
      </c>
      <c r="D89" s="33" t="s">
        <v>22</v>
      </c>
      <c r="E89" s="33" t="s">
        <v>66</v>
      </c>
      <c r="F89" s="33" t="s">
        <v>45</v>
      </c>
      <c r="G89" s="22">
        <v>1</v>
      </c>
    </row>
    <row r="90" spans="2:7" ht="19" customHeight="1">
      <c r="B90" s="24" t="s">
        <v>27</v>
      </c>
      <c r="C90" s="34" t="s">
        <v>60</v>
      </c>
      <c r="D90" s="34" t="s">
        <v>22</v>
      </c>
      <c r="E90" s="34" t="s">
        <v>67</v>
      </c>
      <c r="F90" s="34" t="s">
        <v>45</v>
      </c>
      <c r="G90" s="25">
        <v>1</v>
      </c>
    </row>
    <row r="91" spans="2:7" ht="19" customHeight="1">
      <c r="B91" s="21" t="s">
        <v>27</v>
      </c>
      <c r="C91" s="33" t="s">
        <v>60</v>
      </c>
      <c r="D91" s="33" t="s">
        <v>22</v>
      </c>
      <c r="E91" s="33" t="s">
        <v>68</v>
      </c>
      <c r="F91" s="33" t="s">
        <v>45</v>
      </c>
      <c r="G91" s="22">
        <v>1</v>
      </c>
    </row>
    <row r="92" spans="2:7" ht="19" customHeight="1">
      <c r="B92" s="24" t="s">
        <v>27</v>
      </c>
      <c r="C92" s="34" t="s">
        <v>60</v>
      </c>
      <c r="D92" s="34" t="s">
        <v>22</v>
      </c>
      <c r="E92" s="34" t="s">
        <v>69</v>
      </c>
      <c r="F92" s="34" t="s">
        <v>45</v>
      </c>
      <c r="G92" s="25">
        <v>1</v>
      </c>
    </row>
    <row r="93" spans="2:7" ht="19" customHeight="1">
      <c r="B93" s="21" t="s">
        <v>27</v>
      </c>
      <c r="C93" s="33" t="s">
        <v>60</v>
      </c>
      <c r="D93" s="33" t="s">
        <v>22</v>
      </c>
      <c r="E93" s="33" t="s">
        <v>70</v>
      </c>
      <c r="F93" s="33" t="s">
        <v>45</v>
      </c>
      <c r="G93" s="22">
        <v>1</v>
      </c>
    </row>
    <row r="94" spans="2:7" ht="19" customHeight="1">
      <c r="B94" s="24" t="s">
        <v>27</v>
      </c>
      <c r="C94" s="34" t="s">
        <v>60</v>
      </c>
      <c r="D94" s="34" t="s">
        <v>22</v>
      </c>
      <c r="E94" s="34" t="s">
        <v>71</v>
      </c>
      <c r="F94" s="34" t="s">
        <v>45</v>
      </c>
      <c r="G94" s="25">
        <v>1</v>
      </c>
    </row>
    <row r="95" spans="2:7" ht="19" customHeight="1">
      <c r="B95" s="21" t="s">
        <v>27</v>
      </c>
      <c r="C95" s="33" t="s">
        <v>60</v>
      </c>
      <c r="D95" s="33" t="s">
        <v>22</v>
      </c>
      <c r="E95" s="33" t="s">
        <v>72</v>
      </c>
      <c r="F95" s="33" t="s">
        <v>45</v>
      </c>
      <c r="G95" s="22">
        <v>1</v>
      </c>
    </row>
    <row r="96" spans="2:7" ht="19" customHeight="1">
      <c r="B96" s="24" t="s">
        <v>27</v>
      </c>
      <c r="C96" s="34" t="s">
        <v>60</v>
      </c>
      <c r="D96" s="34" t="s">
        <v>22</v>
      </c>
      <c r="E96" s="34" t="s">
        <v>73</v>
      </c>
      <c r="F96" s="34" t="s">
        <v>45</v>
      </c>
      <c r="G96" s="25">
        <v>1</v>
      </c>
    </row>
    <row r="97" spans="2:7" ht="19" customHeight="1">
      <c r="B97" s="21" t="s">
        <v>27</v>
      </c>
      <c r="C97" s="33" t="s">
        <v>60</v>
      </c>
      <c r="D97" s="33" t="s">
        <v>22</v>
      </c>
      <c r="E97" s="33" t="s">
        <v>74</v>
      </c>
      <c r="F97" s="33" t="s">
        <v>45</v>
      </c>
      <c r="G97" s="22">
        <v>1</v>
      </c>
    </row>
    <row r="98" spans="2:7" ht="19" customHeight="1">
      <c r="B98" s="24" t="s">
        <v>27</v>
      </c>
      <c r="C98" s="34" t="s">
        <v>60</v>
      </c>
      <c r="D98" s="34" t="s">
        <v>22</v>
      </c>
      <c r="E98" s="34" t="s">
        <v>75</v>
      </c>
      <c r="F98" s="34" t="s">
        <v>45</v>
      </c>
      <c r="G98" s="25">
        <v>1</v>
      </c>
    </row>
    <row r="99" spans="2:7" ht="19" customHeight="1">
      <c r="B99" s="21" t="s">
        <v>27</v>
      </c>
      <c r="C99" s="33" t="s">
        <v>60</v>
      </c>
      <c r="D99" s="33" t="s">
        <v>22</v>
      </c>
      <c r="E99" s="33" t="s">
        <v>76</v>
      </c>
      <c r="F99" s="33" t="s">
        <v>45</v>
      </c>
      <c r="G99" s="22">
        <v>1</v>
      </c>
    </row>
    <row r="100" spans="2:7" ht="19" customHeight="1">
      <c r="B100" s="24" t="s">
        <v>27</v>
      </c>
      <c r="C100" s="34" t="s">
        <v>60</v>
      </c>
      <c r="D100" s="34" t="s">
        <v>22</v>
      </c>
      <c r="E100" s="34" t="s">
        <v>77</v>
      </c>
      <c r="F100" s="34" t="s">
        <v>45</v>
      </c>
      <c r="G100" s="25">
        <v>1</v>
      </c>
    </row>
    <row r="101" spans="2:7" ht="19" customHeight="1">
      <c r="B101" s="21" t="s">
        <v>28</v>
      </c>
      <c r="C101" s="33" t="s">
        <v>78</v>
      </c>
      <c r="D101" s="33" t="s">
        <v>22</v>
      </c>
      <c r="E101" s="33" t="s">
        <v>44</v>
      </c>
      <c r="F101" s="33" t="s">
        <v>45</v>
      </c>
      <c r="G101" s="22">
        <v>1</v>
      </c>
    </row>
    <row r="102" spans="2:7" ht="19" customHeight="1">
      <c r="B102" s="24" t="s">
        <v>28</v>
      </c>
      <c r="C102" s="34" t="s">
        <v>78</v>
      </c>
      <c r="D102" s="34" t="s">
        <v>22</v>
      </c>
      <c r="E102" s="34" t="s">
        <v>79</v>
      </c>
      <c r="F102" s="34" t="s">
        <v>45</v>
      </c>
      <c r="G102" s="25">
        <v>1</v>
      </c>
    </row>
    <row r="103" spans="2:7" ht="19" customHeight="1">
      <c r="B103" s="21" t="s">
        <v>28</v>
      </c>
      <c r="C103" s="33" t="s">
        <v>78</v>
      </c>
      <c r="D103" s="33" t="s">
        <v>22</v>
      </c>
      <c r="E103" s="33" t="s">
        <v>80</v>
      </c>
      <c r="F103" s="33" t="s">
        <v>45</v>
      </c>
      <c r="G103" s="22">
        <v>1</v>
      </c>
    </row>
    <row r="104" spans="2:7" ht="19" customHeight="1">
      <c r="B104" s="24" t="s">
        <v>28</v>
      </c>
      <c r="C104" s="34" t="s">
        <v>78</v>
      </c>
      <c r="D104" s="34" t="s">
        <v>22</v>
      </c>
      <c r="E104" s="34" t="s">
        <v>81</v>
      </c>
      <c r="F104" s="34" t="s">
        <v>45</v>
      </c>
      <c r="G104" s="25">
        <v>1</v>
      </c>
    </row>
    <row r="105" spans="2:7" ht="19" customHeight="1">
      <c r="B105" s="21" t="s">
        <v>28</v>
      </c>
      <c r="C105" s="33" t="s">
        <v>78</v>
      </c>
      <c r="D105" s="33" t="s">
        <v>22</v>
      </c>
      <c r="E105" s="33" t="s">
        <v>82</v>
      </c>
      <c r="F105" s="33" t="s">
        <v>45</v>
      </c>
      <c r="G105" s="22">
        <v>1</v>
      </c>
    </row>
    <row r="106" spans="2:7" ht="19" customHeight="1">
      <c r="B106" s="24" t="s">
        <v>28</v>
      </c>
      <c r="C106" s="34" t="s">
        <v>28</v>
      </c>
      <c r="D106" s="34" t="s">
        <v>22</v>
      </c>
      <c r="E106" s="34" t="s">
        <v>83</v>
      </c>
      <c r="F106" s="34" t="s">
        <v>45</v>
      </c>
      <c r="G106" s="25">
        <v>1</v>
      </c>
    </row>
    <row r="107" spans="2:7" ht="19" customHeight="1">
      <c r="B107" s="21" t="s">
        <v>28</v>
      </c>
      <c r="C107" s="33" t="s">
        <v>28</v>
      </c>
      <c r="D107" s="33" t="s">
        <v>21</v>
      </c>
      <c r="E107" s="33" t="s">
        <v>84</v>
      </c>
      <c r="F107" s="33" t="s">
        <v>45</v>
      </c>
      <c r="G107" s="22">
        <v>1</v>
      </c>
    </row>
    <row r="108" spans="2:7" ht="22" customHeight="1">
      <c r="B108" s="27" t="s">
        <v>23</v>
      </c>
      <c r="C108" s="35"/>
      <c r="D108" s="35"/>
      <c r="E108" s="35"/>
      <c r="F108" s="35"/>
      <c r="G108" s="28">
        <f>SUM(G9:G107)</f>
        <v>99</v>
      </c>
    </row>
  </sheetData>
  <autoFilter ref="B8:G107"/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8C018"/>
    <pageSetUpPr fitToPage="1"/>
  </sheetPr>
  <dimension ref="A1:L18"/>
  <sheetViews>
    <sheetView showGridLines="0" workbookViewId="0"/>
  </sheetViews>
  <sheetFormatPr defaultRowHeight="15"/>
  <cols>
    <col min="1" max="1" width="3.140625" customWidth="1"/>
    <col min="2" max="2" width="19.7109375" customWidth="1"/>
    <col min="3" max="4" width="13.7109375" customWidth="1"/>
    <col min="5" max="5" width="16.7109375" customWidth="1"/>
    <col min="6" max="6" width="11.7109375" customWidth="1"/>
    <col min="7" max="7" width="40.7109375" customWidth="1"/>
    <col min="8" max="8" width="30.7109375" customWidth="1"/>
    <col min="9" max="9" width="58.7109375" customWidth="1"/>
    <col min="10" max="10" width="16.7109375" customWidth="1"/>
    <col min="11" max="11" width="11.7109375" customWidth="1"/>
    <col min="12" max="12" width="3.140625" customWidth="1"/>
  </cols>
  <sheetData>
    <row r="1" spans="1:12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0" customHeight="1">
      <c r="A2" s="1"/>
      <c r="B2" s="2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0" customHeigh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7" spans="1:12" ht="27" customHeight="1">
      <c r="B7" s="6" t="s">
        <v>85</v>
      </c>
      <c r="C7" s="7"/>
      <c r="D7" s="7"/>
      <c r="E7" s="7"/>
      <c r="F7" s="7"/>
      <c r="G7" s="7"/>
      <c r="H7" s="7"/>
      <c r="I7" s="7"/>
      <c r="J7" s="7"/>
      <c r="K7" s="8" t="s">
        <v>33</v>
      </c>
    </row>
    <row r="8" spans="1:12" ht="36" customHeight="1">
      <c r="B8" s="19" t="s">
        <v>86</v>
      </c>
      <c r="C8" s="32" t="s">
        <v>87</v>
      </c>
      <c r="D8" s="32" t="s">
        <v>25</v>
      </c>
      <c r="E8" s="32" t="s">
        <v>39</v>
      </c>
      <c r="F8" s="36" t="s">
        <v>88</v>
      </c>
      <c r="G8" s="32" t="s">
        <v>40</v>
      </c>
      <c r="H8" s="32" t="s">
        <v>18</v>
      </c>
      <c r="I8" s="32" t="s">
        <v>89</v>
      </c>
      <c r="J8" s="32" t="s">
        <v>90</v>
      </c>
      <c r="K8" s="32" t="s">
        <v>91</v>
      </c>
    </row>
    <row r="9" spans="1:12" ht="21" customHeight="1">
      <c r="B9" s="21" t="s">
        <v>92</v>
      </c>
      <c r="C9" s="37">
        <v>46315</v>
      </c>
      <c r="D9" s="33" t="s">
        <v>27</v>
      </c>
      <c r="E9" s="33" t="s">
        <v>93</v>
      </c>
      <c r="F9" s="38" t="s">
        <v>94</v>
      </c>
      <c r="G9" s="33" t="s">
        <v>95</v>
      </c>
      <c r="H9" s="33" t="s">
        <v>96</v>
      </c>
      <c r="I9" s="33" t="s">
        <v>97</v>
      </c>
      <c r="J9" s="33" t="s">
        <v>98</v>
      </c>
      <c r="K9" s="33" t="s">
        <v>99</v>
      </c>
    </row>
    <row r="10" spans="1:12" ht="21" customHeight="1">
      <c r="B10" s="24" t="s">
        <v>100</v>
      </c>
      <c r="C10" s="39">
        <v>46315</v>
      </c>
      <c r="D10" s="34" t="s">
        <v>27</v>
      </c>
      <c r="E10" s="34" t="s">
        <v>93</v>
      </c>
      <c r="F10" s="40" t="s">
        <v>101</v>
      </c>
      <c r="G10" s="34" t="s">
        <v>81</v>
      </c>
      <c r="H10" s="34" t="s">
        <v>96</v>
      </c>
      <c r="I10" s="34" t="s">
        <v>102</v>
      </c>
      <c r="J10" s="34" t="s">
        <v>98</v>
      </c>
      <c r="K10" s="34" t="s">
        <v>99</v>
      </c>
    </row>
    <row r="11" spans="1:12" ht="21" customHeight="1">
      <c r="B11" s="21" t="s">
        <v>103</v>
      </c>
      <c r="C11" s="37">
        <v>46315</v>
      </c>
      <c r="D11" s="33" t="s">
        <v>27</v>
      </c>
      <c r="E11" s="33" t="s">
        <v>93</v>
      </c>
      <c r="F11" s="38" t="s">
        <v>104</v>
      </c>
      <c r="G11" s="33" t="s">
        <v>105</v>
      </c>
      <c r="H11" s="33" t="s">
        <v>96</v>
      </c>
      <c r="I11" s="33" t="s">
        <v>106</v>
      </c>
      <c r="J11" s="33" t="s">
        <v>98</v>
      </c>
      <c r="K11" s="33" t="s">
        <v>99</v>
      </c>
    </row>
    <row r="12" spans="1:12" ht="21" customHeight="1">
      <c r="B12" s="24" t="s">
        <v>107</v>
      </c>
      <c r="C12" s="39">
        <v>46315</v>
      </c>
      <c r="D12" s="34" t="s">
        <v>27</v>
      </c>
      <c r="E12" s="34" t="s">
        <v>93</v>
      </c>
      <c r="F12" s="40" t="s">
        <v>108</v>
      </c>
      <c r="G12" s="34" t="s">
        <v>109</v>
      </c>
      <c r="H12" s="34" t="s">
        <v>96</v>
      </c>
      <c r="I12" s="34" t="s">
        <v>110</v>
      </c>
      <c r="J12" s="34" t="s">
        <v>98</v>
      </c>
      <c r="K12" s="34" t="s">
        <v>99</v>
      </c>
    </row>
    <row r="13" spans="1:12" ht="35" customHeight="1">
      <c r="B13" s="21" t="s">
        <v>111</v>
      </c>
      <c r="C13" s="37">
        <v>46315</v>
      </c>
      <c r="D13" s="33" t="s">
        <v>26</v>
      </c>
      <c r="E13" s="33" t="s">
        <v>43</v>
      </c>
      <c r="F13" s="38" t="s">
        <v>112</v>
      </c>
      <c r="G13" s="33" t="s">
        <v>113</v>
      </c>
      <c r="H13" s="33" t="s">
        <v>96</v>
      </c>
      <c r="I13" s="33" t="s">
        <v>114</v>
      </c>
      <c r="J13" s="33" t="s">
        <v>115</v>
      </c>
      <c r="K13" s="33" t="s">
        <v>99</v>
      </c>
    </row>
    <row r="14" spans="1:12" ht="35" customHeight="1">
      <c r="B14" s="24" t="s">
        <v>116</v>
      </c>
      <c r="C14" s="39">
        <v>46315</v>
      </c>
      <c r="D14" s="34" t="s">
        <v>26</v>
      </c>
      <c r="E14" s="34" t="s">
        <v>43</v>
      </c>
      <c r="F14" s="40" t="s">
        <v>117</v>
      </c>
      <c r="G14" s="34" t="s">
        <v>118</v>
      </c>
      <c r="H14" s="34" t="s">
        <v>96</v>
      </c>
      <c r="I14" s="34" t="s">
        <v>114</v>
      </c>
      <c r="J14" s="34" t="s">
        <v>115</v>
      </c>
      <c r="K14" s="34" t="s">
        <v>99</v>
      </c>
    </row>
    <row r="15" spans="1:12" ht="35" customHeight="1">
      <c r="B15" s="21" t="s">
        <v>119</v>
      </c>
      <c r="C15" s="37">
        <v>46314</v>
      </c>
      <c r="D15" s="33" t="s">
        <v>27</v>
      </c>
      <c r="E15" s="33" t="s">
        <v>60</v>
      </c>
      <c r="F15" s="38" t="s">
        <v>120</v>
      </c>
      <c r="G15" s="33" t="s">
        <v>121</v>
      </c>
      <c r="H15" s="33" t="s">
        <v>96</v>
      </c>
      <c r="I15" s="33" t="s">
        <v>122</v>
      </c>
      <c r="J15" s="33" t="s">
        <v>98</v>
      </c>
      <c r="K15" s="33" t="s">
        <v>99</v>
      </c>
    </row>
    <row r="16" spans="1:12" ht="35" customHeight="1">
      <c r="B16" s="24" t="s">
        <v>123</v>
      </c>
      <c r="C16" s="39">
        <v>46314</v>
      </c>
      <c r="D16" s="34" t="s">
        <v>27</v>
      </c>
      <c r="E16" s="34" t="s">
        <v>60</v>
      </c>
      <c r="F16" s="40" t="s">
        <v>124</v>
      </c>
      <c r="G16" s="34" t="s">
        <v>125</v>
      </c>
      <c r="H16" s="34" t="s">
        <v>96</v>
      </c>
      <c r="I16" s="34" t="s">
        <v>122</v>
      </c>
      <c r="J16" s="34" t="s">
        <v>98</v>
      </c>
      <c r="K16" s="34" t="s">
        <v>99</v>
      </c>
    </row>
    <row r="17" spans="2:11" ht="35" customHeight="1">
      <c r="B17" s="21" t="s">
        <v>126</v>
      </c>
      <c r="C17" s="37">
        <v>46311</v>
      </c>
      <c r="D17" s="33" t="s">
        <v>127</v>
      </c>
      <c r="E17" s="33" t="s">
        <v>128</v>
      </c>
      <c r="F17" s="38" t="s">
        <v>129</v>
      </c>
      <c r="G17" s="33" t="s">
        <v>130</v>
      </c>
      <c r="H17" s="33" t="s">
        <v>131</v>
      </c>
      <c r="I17" s="33" t="s">
        <v>132</v>
      </c>
      <c r="J17" s="33" t="s">
        <v>98</v>
      </c>
      <c r="K17" s="33" t="s">
        <v>99</v>
      </c>
    </row>
    <row r="18" spans="2:11" ht="35" customHeight="1">
      <c r="B18" s="24" t="s">
        <v>133</v>
      </c>
      <c r="C18" s="39">
        <v>46311</v>
      </c>
      <c r="D18" s="34" t="s">
        <v>127</v>
      </c>
      <c r="E18" s="34" t="s">
        <v>128</v>
      </c>
      <c r="F18" s="40" t="s">
        <v>134</v>
      </c>
      <c r="G18" s="34" t="s">
        <v>135</v>
      </c>
      <c r="H18" s="34" t="s">
        <v>131</v>
      </c>
      <c r="I18" s="34" t="s">
        <v>132</v>
      </c>
      <c r="J18" s="34" t="s">
        <v>98</v>
      </c>
      <c r="K18" s="34" t="s">
        <v>99</v>
      </c>
    </row>
  </sheetData>
  <autoFilter ref="B8:K18"/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8C018"/>
    <pageSetUpPr fitToPage="1"/>
  </sheetPr>
  <dimension ref="A1:O52"/>
  <sheetViews>
    <sheetView showGridLines="0" workbookViewId="0"/>
  </sheetViews>
  <sheetFormatPr defaultRowHeight="15"/>
  <cols>
    <col min="1" max="1" width="3.140625" customWidth="1"/>
    <col min="2" max="2" width="14.7109375" customWidth="1"/>
    <col min="3" max="3" width="20.7109375" customWidth="1"/>
    <col min="4" max="4" width="15.7109375" customWidth="1"/>
    <col min="5" max="5" width="3.7109375" customWidth="1"/>
    <col min="6" max="14" width="11.7109375" customWidth="1"/>
    <col min="15" max="15" width="3.14062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0" customHeight="1">
      <c r="A2" s="1"/>
      <c r="B2" s="2" t="s">
        <v>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0" customHeigh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ht="27" customHeight="1">
      <c r="B7" s="6" t="s">
        <v>136</v>
      </c>
      <c r="C7" s="7"/>
      <c r="D7" s="7"/>
    </row>
    <row r="8" spans="1:15" ht="36" customHeight="1">
      <c r="B8" s="19" t="s">
        <v>137</v>
      </c>
      <c r="C8" s="20" t="s">
        <v>138</v>
      </c>
      <c r="D8" s="20" t="s">
        <v>139</v>
      </c>
    </row>
    <row r="9" spans="1:15" ht="19" customHeight="1">
      <c r="B9" s="41">
        <v>46279</v>
      </c>
      <c r="C9" s="22">
        <v>0</v>
      </c>
      <c r="D9" s="22">
        <v>0</v>
      </c>
    </row>
    <row r="10" spans="1:15" ht="19" customHeight="1">
      <c r="B10" s="42">
        <v>46280</v>
      </c>
      <c r="C10" s="25">
        <v>0</v>
      </c>
      <c r="D10" s="25">
        <v>0</v>
      </c>
    </row>
    <row r="11" spans="1:15" ht="19" customHeight="1">
      <c r="B11" s="41">
        <v>46281</v>
      </c>
      <c r="C11" s="22">
        <v>0</v>
      </c>
      <c r="D11" s="22">
        <v>0</v>
      </c>
    </row>
    <row r="12" spans="1:15" ht="19" customHeight="1">
      <c r="B12" s="42">
        <v>46282</v>
      </c>
      <c r="C12" s="25">
        <v>0</v>
      </c>
      <c r="D12" s="25">
        <v>0</v>
      </c>
    </row>
    <row r="13" spans="1:15" ht="19" customHeight="1">
      <c r="B13" s="41">
        <v>46283</v>
      </c>
      <c r="C13" s="22">
        <v>0</v>
      </c>
      <c r="D13" s="22">
        <v>0</v>
      </c>
    </row>
    <row r="14" spans="1:15" ht="19" customHeight="1">
      <c r="B14" s="42">
        <v>46284</v>
      </c>
      <c r="C14" s="25">
        <v>0</v>
      </c>
      <c r="D14" s="25">
        <v>0</v>
      </c>
    </row>
    <row r="15" spans="1:15" ht="19" customHeight="1">
      <c r="B15" s="41">
        <v>46285</v>
      </c>
      <c r="C15" s="22">
        <v>0</v>
      </c>
      <c r="D15" s="22">
        <v>0</v>
      </c>
    </row>
    <row r="16" spans="1:15" ht="19" customHeight="1">
      <c r="B16" s="42">
        <v>46286</v>
      </c>
      <c r="C16" s="25">
        <v>0</v>
      </c>
      <c r="D16" s="25">
        <v>0</v>
      </c>
    </row>
    <row r="17" spans="2:4" ht="19" customHeight="1">
      <c r="B17" s="41">
        <v>46287</v>
      </c>
      <c r="C17" s="22">
        <v>0</v>
      </c>
      <c r="D17" s="22">
        <v>0</v>
      </c>
    </row>
    <row r="18" spans="2:4" ht="19" customHeight="1">
      <c r="B18" s="42">
        <v>46288</v>
      </c>
      <c r="C18" s="25">
        <v>0</v>
      </c>
      <c r="D18" s="25">
        <v>0</v>
      </c>
    </row>
    <row r="19" spans="2:4" ht="19" customHeight="1">
      <c r="B19" s="41">
        <v>46289</v>
      </c>
      <c r="C19" s="22">
        <v>0</v>
      </c>
      <c r="D19" s="22">
        <v>0</v>
      </c>
    </row>
    <row r="20" spans="2:4" ht="19" customHeight="1">
      <c r="B20" s="42">
        <v>46290</v>
      </c>
      <c r="C20" s="25">
        <v>0</v>
      </c>
      <c r="D20" s="25">
        <v>0</v>
      </c>
    </row>
    <row r="21" spans="2:4" ht="19" customHeight="1">
      <c r="B21" s="41">
        <v>46291</v>
      </c>
      <c r="C21" s="22">
        <v>0</v>
      </c>
      <c r="D21" s="22">
        <v>0</v>
      </c>
    </row>
    <row r="22" spans="2:4" ht="19" customHeight="1">
      <c r="B22" s="42">
        <v>46292</v>
      </c>
      <c r="C22" s="25">
        <v>0</v>
      </c>
      <c r="D22" s="25">
        <v>0</v>
      </c>
    </row>
    <row r="23" spans="2:4" ht="19" customHeight="1">
      <c r="B23" s="41">
        <v>46293</v>
      </c>
      <c r="C23" s="22">
        <v>0</v>
      </c>
      <c r="D23" s="22">
        <v>0</v>
      </c>
    </row>
    <row r="24" spans="2:4" ht="19" customHeight="1">
      <c r="B24" s="42">
        <v>46294</v>
      </c>
      <c r="C24" s="25">
        <v>0</v>
      </c>
      <c r="D24" s="25">
        <v>0</v>
      </c>
    </row>
    <row r="25" spans="2:4" ht="19" customHeight="1">
      <c r="B25" s="41">
        <v>46295</v>
      </c>
      <c r="C25" s="22">
        <v>0</v>
      </c>
      <c r="D25" s="22">
        <v>0</v>
      </c>
    </row>
    <row r="26" spans="2:4" ht="19" customHeight="1">
      <c r="B26" s="42">
        <v>46296</v>
      </c>
      <c r="C26" s="25">
        <v>0</v>
      </c>
      <c r="D26" s="25">
        <v>0</v>
      </c>
    </row>
    <row r="27" spans="2:4" ht="19" customHeight="1">
      <c r="B27" s="41">
        <v>46297</v>
      </c>
      <c r="C27" s="22">
        <v>0</v>
      </c>
      <c r="D27" s="22">
        <v>0</v>
      </c>
    </row>
    <row r="28" spans="2:4" ht="19" customHeight="1">
      <c r="B28" s="42">
        <v>46298</v>
      </c>
      <c r="C28" s="25">
        <v>0</v>
      </c>
      <c r="D28" s="25">
        <v>0</v>
      </c>
    </row>
    <row r="29" spans="2:4" ht="19" customHeight="1">
      <c r="B29" s="41">
        <v>46299</v>
      </c>
      <c r="C29" s="22">
        <v>0</v>
      </c>
      <c r="D29" s="22">
        <v>0</v>
      </c>
    </row>
    <row r="30" spans="2:4" ht="19" customHeight="1">
      <c r="B30" s="42">
        <v>46300</v>
      </c>
      <c r="C30" s="25">
        <v>0</v>
      </c>
      <c r="D30" s="25">
        <v>0</v>
      </c>
    </row>
    <row r="31" spans="2:4" ht="19" customHeight="1">
      <c r="B31" s="41">
        <v>46301</v>
      </c>
      <c r="C31" s="22">
        <v>0</v>
      </c>
      <c r="D31" s="22">
        <v>0</v>
      </c>
    </row>
    <row r="32" spans="2:4" ht="19" customHeight="1">
      <c r="B32" s="42">
        <v>46302</v>
      </c>
      <c r="C32" s="25">
        <v>0</v>
      </c>
      <c r="D32" s="25">
        <v>0</v>
      </c>
    </row>
    <row r="33" spans="2:4" ht="19" customHeight="1">
      <c r="B33" s="41">
        <v>46303</v>
      </c>
      <c r="C33" s="22">
        <v>0</v>
      </c>
      <c r="D33" s="22">
        <v>0</v>
      </c>
    </row>
    <row r="34" spans="2:4" ht="19" customHeight="1">
      <c r="B34" s="42">
        <v>46304</v>
      </c>
      <c r="C34" s="25">
        <v>0</v>
      </c>
      <c r="D34" s="25">
        <v>0</v>
      </c>
    </row>
    <row r="35" spans="2:4" ht="19" customHeight="1">
      <c r="B35" s="41">
        <v>46305</v>
      </c>
      <c r="C35" s="22">
        <v>0</v>
      </c>
      <c r="D35" s="22">
        <v>0</v>
      </c>
    </row>
    <row r="36" spans="2:4" ht="19" customHeight="1">
      <c r="B36" s="42">
        <v>46306</v>
      </c>
      <c r="C36" s="25">
        <v>0</v>
      </c>
      <c r="D36" s="25">
        <v>0</v>
      </c>
    </row>
    <row r="37" spans="2:4" ht="19" customHeight="1">
      <c r="B37" s="41">
        <v>46307</v>
      </c>
      <c r="C37" s="22">
        <v>0</v>
      </c>
      <c r="D37" s="22">
        <v>0</v>
      </c>
    </row>
    <row r="38" spans="2:4" ht="19" customHeight="1">
      <c r="B38" s="42">
        <v>46308</v>
      </c>
      <c r="C38" s="25">
        <v>0</v>
      </c>
      <c r="D38" s="25">
        <v>0</v>
      </c>
    </row>
    <row r="39" spans="2:4" ht="19" customHeight="1">
      <c r="B39" s="41">
        <v>46309</v>
      </c>
      <c r="C39" s="22">
        <v>0</v>
      </c>
      <c r="D39" s="22">
        <v>0</v>
      </c>
    </row>
    <row r="40" spans="2:4" ht="19" customHeight="1">
      <c r="B40" s="42">
        <v>46310</v>
      </c>
      <c r="C40" s="25">
        <v>0</v>
      </c>
      <c r="D40" s="25">
        <v>0</v>
      </c>
    </row>
    <row r="41" spans="2:4" ht="19" customHeight="1">
      <c r="B41" s="41">
        <v>46311</v>
      </c>
      <c r="C41" s="22">
        <v>2</v>
      </c>
      <c r="D41" s="22">
        <v>2</v>
      </c>
    </row>
    <row r="42" spans="2:4" ht="19" customHeight="1">
      <c r="B42" s="42">
        <v>46312</v>
      </c>
      <c r="C42" s="25">
        <v>0</v>
      </c>
      <c r="D42" s="25">
        <v>2</v>
      </c>
    </row>
    <row r="43" spans="2:4" ht="19" customHeight="1">
      <c r="B43" s="41">
        <v>46313</v>
      </c>
      <c r="C43" s="22">
        <v>0</v>
      </c>
      <c r="D43" s="22">
        <v>2</v>
      </c>
    </row>
    <row r="44" spans="2:4" ht="19" customHeight="1">
      <c r="B44" s="42">
        <v>46314</v>
      </c>
      <c r="C44" s="25">
        <v>2</v>
      </c>
      <c r="D44" s="25">
        <v>4</v>
      </c>
    </row>
    <row r="45" spans="2:4" ht="19" customHeight="1">
      <c r="B45" s="41">
        <v>46315</v>
      </c>
      <c r="C45" s="22">
        <v>6</v>
      </c>
      <c r="D45" s="22">
        <v>10</v>
      </c>
    </row>
    <row r="46" spans="2:4" ht="19" customHeight="1">
      <c r="B46" s="42">
        <v>46316</v>
      </c>
      <c r="C46" s="25">
        <v>0</v>
      </c>
      <c r="D46" s="25">
        <v>10</v>
      </c>
    </row>
    <row r="47" spans="2:4" ht="19" customHeight="1">
      <c r="B47" s="41">
        <v>46317</v>
      </c>
      <c r="C47" s="22">
        <v>0</v>
      </c>
      <c r="D47" s="22">
        <v>10</v>
      </c>
    </row>
    <row r="48" spans="2:4" ht="19" customHeight="1">
      <c r="B48" s="42">
        <v>46318</v>
      </c>
      <c r="C48" s="25">
        <v>0</v>
      </c>
      <c r="D48" s="25">
        <v>10</v>
      </c>
    </row>
    <row r="49" spans="2:4" ht="19" customHeight="1">
      <c r="B49" s="41">
        <v>46319</v>
      </c>
      <c r="C49" s="22">
        <v>0</v>
      </c>
      <c r="D49" s="22">
        <v>10</v>
      </c>
    </row>
    <row r="50" spans="2:4" ht="19" customHeight="1">
      <c r="B50" s="42">
        <v>46320</v>
      </c>
      <c r="C50" s="25">
        <v>0</v>
      </c>
      <c r="D50" s="25">
        <v>10</v>
      </c>
    </row>
    <row r="51" spans="2:4" ht="19" customHeight="1">
      <c r="B51" s="41">
        <v>46321</v>
      </c>
      <c r="C51" s="22">
        <v>0</v>
      </c>
      <c r="D51" s="22">
        <v>10</v>
      </c>
    </row>
    <row r="52" spans="2:4" ht="22" customHeight="1">
      <c r="B52" s="27" t="s">
        <v>23</v>
      </c>
      <c r="C52" s="28">
        <f>SUM(C9:C51)</f>
        <v>10</v>
      </c>
      <c r="D52" s="35"/>
    </row>
  </sheetData>
  <autoFilter ref="B8:D51"/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7B9"/>
    <pageSetUpPr fitToPage="1"/>
  </sheetPr>
  <dimension ref="A1:O31"/>
  <sheetViews>
    <sheetView showGridLines="0" workbookViewId="0"/>
  </sheetViews>
  <sheetFormatPr defaultRowHeight="15" x14ac:dyDescent="0.25"/>
  <cols>
    <col min="1" max="1" width="3.140625" customWidth="1"/>
    <col min="2" max="2" width="28.7109375" customWidth="1"/>
    <col min="3" max="3" width="11.7109375" customWidth="1"/>
    <col min="4" max="4" width="14.7109375" customWidth="1"/>
    <col min="5" max="5" width="18.7109375" customWidth="1"/>
    <col min="6" max="6" width="12.7109375" customWidth="1"/>
    <col min="7" max="7" width="3.7109375" customWidth="1"/>
    <col min="8" max="14" width="11.7109375" customWidth="1"/>
    <col min="15" max="15" width="3.140625" customWidth="1"/>
  </cols>
  <sheetData>
    <row r="1" spans="1:15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0" customHeight="1" x14ac:dyDescent="0.25">
      <c r="A2" s="1"/>
      <c r="B2" s="2" t="s">
        <v>140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2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0" customHeight="1" x14ac:dyDescent="0.25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ht="27" customHeight="1" x14ac:dyDescent="0.25">
      <c r="B7" s="6" t="s">
        <v>24</v>
      </c>
      <c r="C7" s="7"/>
      <c r="D7" s="7"/>
      <c r="E7" s="7"/>
      <c r="F7" s="8" t="s">
        <v>141</v>
      </c>
    </row>
    <row r="8" spans="1:15" ht="36" customHeight="1" x14ac:dyDescent="0.25">
      <c r="B8" s="19" t="s">
        <v>25</v>
      </c>
      <c r="C8" s="20" t="s">
        <v>142</v>
      </c>
      <c r="D8" s="20" t="s">
        <v>20</v>
      </c>
      <c r="E8" s="20" t="s">
        <v>143</v>
      </c>
      <c r="F8" s="20" t="s">
        <v>144</v>
      </c>
    </row>
    <row r="9" spans="1:15" ht="19" customHeight="1" x14ac:dyDescent="0.25">
      <c r="B9" s="21" t="s">
        <v>27</v>
      </c>
      <c r="C9" s="22">
        <v>6850</v>
      </c>
      <c r="D9" s="23">
        <v>0.5115758028379388</v>
      </c>
      <c r="E9" s="22">
        <v>6850</v>
      </c>
      <c r="F9" s="22">
        <v>10</v>
      </c>
    </row>
    <row r="10" spans="1:15" ht="19" customHeight="1" x14ac:dyDescent="0.25">
      <c r="B10" s="24" t="s">
        <v>145</v>
      </c>
      <c r="C10" s="25">
        <v>3820</v>
      </c>
      <c r="D10" s="26">
        <v>0.2852875280059746</v>
      </c>
      <c r="E10" s="25">
        <v>3485</v>
      </c>
      <c r="F10" s="25">
        <v>15</v>
      </c>
    </row>
    <row r="11" spans="1:15" ht="19" customHeight="1" x14ac:dyDescent="0.25">
      <c r="B11" s="21" t="s">
        <v>146</v>
      </c>
      <c r="C11" s="22">
        <v>780</v>
      </c>
      <c r="D11" s="23">
        <v>0.05825242718446602</v>
      </c>
      <c r="E11" s="22">
        <v>780</v>
      </c>
      <c r="F11" s="22">
        <v>7</v>
      </c>
    </row>
    <row r="12" spans="1:15" ht="19" customHeight="1" x14ac:dyDescent="0.25">
      <c r="B12" s="24" t="s">
        <v>147</v>
      </c>
      <c r="C12" s="25">
        <v>527</v>
      </c>
      <c r="D12" s="26">
        <v>0.03935772964899178</v>
      </c>
      <c r="E12" s="25">
        <v>318</v>
      </c>
      <c r="F12" s="25">
        <v>5</v>
      </c>
    </row>
    <row r="13" spans="1:15" ht="19" customHeight="1" x14ac:dyDescent="0.25">
      <c r="B13" s="21" t="s">
        <v>148</v>
      </c>
      <c r="C13" s="22">
        <v>498</v>
      </c>
      <c r="D13" s="23">
        <v>0.03719193427931292</v>
      </c>
      <c r="E13" s="22">
        <v>498</v>
      </c>
      <c r="F13" s="22">
        <v>5</v>
      </c>
    </row>
    <row r="14" spans="1:15" ht="19" customHeight="1" x14ac:dyDescent="0.25">
      <c r="B14" s="24" t="s">
        <v>149</v>
      </c>
      <c r="C14" s="25">
        <v>250</v>
      </c>
      <c r="D14" s="26">
        <v>0.0186706497386109</v>
      </c>
      <c r="E14" s="25">
        <v>249</v>
      </c>
      <c r="F14" s="25">
        <v>1</v>
      </c>
    </row>
    <row r="15" spans="1:15" ht="19" customHeight="1" x14ac:dyDescent="0.25">
      <c r="B15" s="21" t="s">
        <v>150</v>
      </c>
      <c r="C15" s="22">
        <v>141</v>
      </c>
      <c r="D15" s="23">
        <v>0.01053024645257655</v>
      </c>
      <c r="E15" s="22">
        <v>141</v>
      </c>
      <c r="F15" s="22">
        <v>1</v>
      </c>
    </row>
    <row r="16" spans="1:15" ht="19" customHeight="1" x14ac:dyDescent="0.25">
      <c r="B16" s="24" t="s">
        <v>151</v>
      </c>
      <c r="C16" s="25">
        <v>79</v>
      </c>
      <c r="D16" s="26">
        <v>0.005899925317401046</v>
      </c>
      <c r="E16" s="25">
        <v>80</v>
      </c>
      <c r="F16" s="25">
        <v>4</v>
      </c>
    </row>
    <row r="17" spans="2:6" ht="19" customHeight="1" x14ac:dyDescent="0.25">
      <c r="B17" s="21" t="s">
        <v>127</v>
      </c>
      <c r="C17" s="22">
        <v>75</v>
      </c>
      <c r="D17" s="23">
        <v>0.005601194921583271</v>
      </c>
      <c r="E17" s="22">
        <v>53</v>
      </c>
      <c r="F17" s="22">
        <v>4</v>
      </c>
    </row>
    <row r="18" spans="2:6" ht="19" customHeight="1" x14ac:dyDescent="0.25">
      <c r="B18" s="24" t="s">
        <v>26</v>
      </c>
      <c r="C18" s="25">
        <v>66</v>
      </c>
      <c r="D18" s="26">
        <v>0.004929051530993278</v>
      </c>
      <c r="E18" s="25">
        <v>66</v>
      </c>
      <c r="F18" s="25">
        <v>1</v>
      </c>
    </row>
    <row r="19" spans="2:6" ht="19" customHeight="1" x14ac:dyDescent="0.25">
      <c r="B19" s="21" t="s">
        <v>152</v>
      </c>
      <c r="C19" s="22">
        <v>64</v>
      </c>
      <c r="D19" s="23">
        <v>0.004779686333084392</v>
      </c>
      <c r="E19" s="22">
        <v>12</v>
      </c>
      <c r="F19" s="22">
        <v>10</v>
      </c>
    </row>
    <row r="20" spans="2:6" ht="19" customHeight="1" x14ac:dyDescent="0.25">
      <c r="B20" s="24" t="s">
        <v>153</v>
      </c>
      <c r="C20" s="25">
        <v>64</v>
      </c>
      <c r="D20" s="26">
        <v>0.004779686333084392</v>
      </c>
      <c r="E20" s="25">
        <v>32</v>
      </c>
      <c r="F20" s="25">
        <v>1</v>
      </c>
    </row>
    <row r="21" spans="2:6" ht="19" customHeight="1" x14ac:dyDescent="0.25">
      <c r="B21" s="21" t="s">
        <v>154</v>
      </c>
      <c r="C21" s="22">
        <v>60</v>
      </c>
      <c r="D21" s="23">
        <v>0.004480955937266617</v>
      </c>
      <c r="E21" s="22">
        <v>15</v>
      </c>
      <c r="F21" s="22">
        <v>2</v>
      </c>
    </row>
    <row r="22" spans="2:6" ht="19" customHeight="1" x14ac:dyDescent="0.25">
      <c r="B22" s="24" t="s">
        <v>155</v>
      </c>
      <c r="C22" s="25">
        <v>44</v>
      </c>
      <c r="D22" s="26">
        <v>0.003286034353995519</v>
      </c>
      <c r="E22" s="25">
        <v>44</v>
      </c>
      <c r="F22" s="25">
        <v>1</v>
      </c>
    </row>
    <row r="23" spans="2:6" ht="19" customHeight="1" x14ac:dyDescent="0.25">
      <c r="B23" s="21" t="s">
        <v>156</v>
      </c>
      <c r="C23" s="22">
        <v>17</v>
      </c>
      <c r="D23" s="23">
        <v>0.001269604182225541</v>
      </c>
      <c r="E23" s="22">
        <v>18</v>
      </c>
      <c r="F23" s="22">
        <v>12</v>
      </c>
    </row>
    <row r="24" spans="2:6" ht="19" customHeight="1" x14ac:dyDescent="0.25">
      <c r="B24" s="24" t="s">
        <v>157</v>
      </c>
      <c r="C24" s="25">
        <v>17</v>
      </c>
      <c r="D24" s="26">
        <v>0.001269604182225541</v>
      </c>
      <c r="E24" s="25">
        <v>17</v>
      </c>
      <c r="F24" s="25">
        <v>1</v>
      </c>
    </row>
    <row r="25" spans="2:6" ht="19" customHeight="1" x14ac:dyDescent="0.25">
      <c r="B25" s="21" t="s">
        <v>28</v>
      </c>
      <c r="C25" s="22">
        <v>13</v>
      </c>
      <c r="D25" s="23">
        <v>0.0009708737864077669</v>
      </c>
      <c r="E25" s="22">
        <v>13</v>
      </c>
      <c r="F25" s="22">
        <v>4</v>
      </c>
    </row>
    <row r="26" spans="2:6" ht="19" customHeight="1" x14ac:dyDescent="0.25">
      <c r="B26" s="24" t="s">
        <v>158</v>
      </c>
      <c r="C26" s="25">
        <v>11</v>
      </c>
      <c r="D26" s="26">
        <v>0.0008215085884988797</v>
      </c>
      <c r="E26" s="25">
        <v>2</v>
      </c>
      <c r="F26" s="25">
        <v>2</v>
      </c>
    </row>
    <row r="27" spans="2:6" ht="19" customHeight="1" x14ac:dyDescent="0.25">
      <c r="B27" s="21" t="s">
        <v>159</v>
      </c>
      <c r="C27" s="22">
        <v>7</v>
      </c>
      <c r="D27" s="23">
        <v>0.0005227781926811053</v>
      </c>
      <c r="E27" s="22">
        <v>1</v>
      </c>
      <c r="F27" s="22">
        <v>1</v>
      </c>
    </row>
    <row r="28" spans="2:6" ht="19" customHeight="1" x14ac:dyDescent="0.25">
      <c r="B28" s="24" t="s">
        <v>160</v>
      </c>
      <c r="C28" s="25">
        <v>7</v>
      </c>
      <c r="D28" s="26">
        <v>0.0005227781926811053</v>
      </c>
      <c r="E28" s="25">
        <v>7</v>
      </c>
      <c r="F28" s="25">
        <v>2</v>
      </c>
    </row>
    <row r="29" spans="2:6" ht="22" customHeight="1" x14ac:dyDescent="0.25">
      <c r="B29" s="27" t="s">
        <v>23</v>
      </c>
      <c r="C29" s="28">
        <f>SUM(C9:C28)</f>
        <v>13390</v>
      </c>
      <c r="D29" s="29">
        <v>1</v>
      </c>
      <c r="E29" s="28">
        <f>SUM(E9:E28)</f>
        <v>12681</v>
      </c>
      <c r="F29" s="28">
        <f>SUM(F9:F28)</f>
        <v>89</v>
      </c>
    </row>
    <row r="31" spans="2:6" ht="30" customHeight="1" x14ac:dyDescent="0.25">
      <c r="B31" s="43" t="s">
        <v>161</v>
      </c>
      <c r="C31" s="43"/>
      <c r="D31" s="43"/>
      <c r="E31" s="43"/>
      <c r="F31" s="43"/>
    </row>
  </sheetData>
  <mergeCells count="1">
    <mergeCell ref="B31:F31"/>
  </mergeCells>
  <conditionalFormatting sqref="D9:D28">
    <cfRule type="dataBar" priority="1">
      <dataBar>
        <cfvo type="num" val="0"/>
        <cfvo type="num" val="1"/>
        <color rgb="FFA995E0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657B9"/>
    <pageSetUpPr fitToPage="1"/>
  </sheetPr>
  <dimension ref="A1:I100"/>
  <sheetViews>
    <sheetView showGridLines="0" workbookViewId="0"/>
  </sheetViews>
  <sheetFormatPr defaultRowHeight="15"/>
  <cols>
    <col min="1" max="1" width="3.140625" customWidth="1"/>
    <col min="2" max="2" width="13.7109375" customWidth="1"/>
    <col min="3" max="3" width="29.7109375" customWidth="1"/>
    <col min="4" max="4" width="30.7109375" customWidth="1"/>
    <col min="5" max="5" width="10.7109375" customWidth="1"/>
    <col min="6" max="6" width="15.7109375" customWidth="1"/>
    <col min="7" max="7" width="22.7109375" customWidth="1"/>
    <col min="8" max="8" width="15.7109375" customWidth="1"/>
    <col min="9" max="9" width="3.140625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40" customHeight="1">
      <c r="A2" s="1"/>
      <c r="B2" s="2" t="s">
        <v>162</v>
      </c>
      <c r="C2" s="1"/>
      <c r="D2" s="1"/>
      <c r="E2" s="1"/>
      <c r="F2" s="1"/>
      <c r="G2" s="1"/>
      <c r="H2" s="1"/>
      <c r="I2" s="1"/>
    </row>
    <row r="3" spans="1:9" ht="22" customHeight="1">
      <c r="A3" s="1"/>
      <c r="B3" s="3" t="s">
        <v>1</v>
      </c>
      <c r="C3" s="1"/>
      <c r="D3" s="1"/>
      <c r="E3" s="1"/>
      <c r="F3" s="1"/>
      <c r="G3" s="1"/>
      <c r="H3" s="1"/>
      <c r="I3" s="1"/>
    </row>
    <row r="4" spans="1:9" ht="20" customHeight="1">
      <c r="A4" s="1"/>
      <c r="B4" s="4" t="s">
        <v>2</v>
      </c>
      <c r="C4" s="1"/>
      <c r="D4" s="1"/>
      <c r="E4" s="1"/>
      <c r="F4" s="1"/>
      <c r="G4" s="1"/>
      <c r="H4" s="1"/>
      <c r="I4" s="1"/>
    </row>
    <row r="5" spans="1:9" ht="5" customHeight="1">
      <c r="A5" s="5"/>
      <c r="B5" s="5"/>
      <c r="C5" s="5"/>
      <c r="D5" s="5"/>
      <c r="E5" s="5"/>
      <c r="F5" s="5"/>
      <c r="G5" s="5"/>
      <c r="H5" s="5"/>
      <c r="I5" s="5"/>
    </row>
    <row r="7" spans="1:9" ht="27" customHeight="1">
      <c r="B7" s="6" t="s">
        <v>163</v>
      </c>
      <c r="C7" s="7"/>
      <c r="D7" s="7"/>
      <c r="E7" s="7"/>
      <c r="F7" s="7"/>
      <c r="G7" s="7"/>
      <c r="H7" s="8" t="s">
        <v>141</v>
      </c>
    </row>
    <row r="8" spans="1:9" ht="46" customHeight="1">
      <c r="B8" s="44" t="s">
        <v>164</v>
      </c>
      <c r="C8" s="44"/>
      <c r="D8" s="44"/>
      <c r="E8" s="44"/>
      <c r="F8" s="44"/>
      <c r="G8" s="44"/>
      <c r="H8" s="44"/>
    </row>
    <row r="9" spans="1:9" ht="8" customHeight="1"/>
    <row r="10" spans="1:9" ht="36" customHeight="1">
      <c r="B10" s="19" t="s">
        <v>137</v>
      </c>
      <c r="C10" s="32" t="s">
        <v>25</v>
      </c>
      <c r="D10" s="32" t="s">
        <v>39</v>
      </c>
      <c r="E10" s="20" t="s">
        <v>142</v>
      </c>
      <c r="F10" s="20" t="s">
        <v>165</v>
      </c>
      <c r="G10" s="20" t="s">
        <v>143</v>
      </c>
      <c r="H10" s="36" t="s">
        <v>166</v>
      </c>
    </row>
    <row r="11" spans="1:9" ht="19" customHeight="1">
      <c r="B11" s="41">
        <v>46265</v>
      </c>
      <c r="C11" s="33" t="s">
        <v>146</v>
      </c>
      <c r="D11" s="33" t="s">
        <v>167</v>
      </c>
      <c r="E11" s="22">
        <v>399</v>
      </c>
      <c r="F11" s="22">
        <v>399</v>
      </c>
      <c r="G11" s="22">
        <v>399</v>
      </c>
      <c r="H11" s="38" t="s">
        <v>168</v>
      </c>
    </row>
    <row r="12" spans="1:9" ht="19" customHeight="1">
      <c r="B12" s="42">
        <v>46265</v>
      </c>
      <c r="C12" s="34" t="s">
        <v>156</v>
      </c>
      <c r="D12" s="34" t="s">
        <v>169</v>
      </c>
      <c r="E12" s="25">
        <v>3</v>
      </c>
      <c r="F12" s="25">
        <v>402</v>
      </c>
      <c r="G12" s="25">
        <v>3</v>
      </c>
      <c r="H12" s="40" t="s">
        <v>170</v>
      </c>
    </row>
    <row r="13" spans="1:9" ht="19" customHeight="1">
      <c r="B13" s="41">
        <v>46265</v>
      </c>
      <c r="C13" s="33" t="s">
        <v>156</v>
      </c>
      <c r="D13" s="33" t="s">
        <v>169</v>
      </c>
      <c r="E13" s="22">
        <v>1</v>
      </c>
      <c r="F13" s="22">
        <v>403</v>
      </c>
      <c r="G13" s="22">
        <v>1</v>
      </c>
      <c r="H13" s="38" t="s">
        <v>171</v>
      </c>
    </row>
    <row r="14" spans="1:9" ht="19" customHeight="1">
      <c r="B14" s="42">
        <v>46268</v>
      </c>
      <c r="C14" s="34" t="s">
        <v>149</v>
      </c>
      <c r="D14" s="34" t="s">
        <v>172</v>
      </c>
      <c r="E14" s="25">
        <v>250</v>
      </c>
      <c r="F14" s="25">
        <v>653</v>
      </c>
      <c r="G14" s="25">
        <v>249</v>
      </c>
      <c r="H14" s="40" t="s">
        <v>173</v>
      </c>
    </row>
    <row r="15" spans="1:9" ht="19" customHeight="1">
      <c r="B15" s="41">
        <v>46268</v>
      </c>
      <c r="C15" s="33" t="s">
        <v>152</v>
      </c>
      <c r="D15" s="33" t="s">
        <v>174</v>
      </c>
      <c r="E15" s="22">
        <v>10</v>
      </c>
      <c r="F15" s="22">
        <v>663</v>
      </c>
      <c r="G15" s="22">
        <v>1</v>
      </c>
      <c r="H15" s="38" t="s">
        <v>175</v>
      </c>
    </row>
    <row r="16" spans="1:9" ht="19" customHeight="1">
      <c r="B16" s="42">
        <v>46268</v>
      </c>
      <c r="C16" s="34" t="s">
        <v>152</v>
      </c>
      <c r="D16" s="34" t="s">
        <v>176</v>
      </c>
      <c r="E16" s="25">
        <v>10</v>
      </c>
      <c r="F16" s="25">
        <v>673</v>
      </c>
      <c r="G16" s="25">
        <v>1</v>
      </c>
      <c r="H16" s="40" t="s">
        <v>177</v>
      </c>
    </row>
    <row r="17" spans="2:8" ht="19" customHeight="1">
      <c r="B17" s="41">
        <v>46269</v>
      </c>
      <c r="C17" s="33" t="s">
        <v>152</v>
      </c>
      <c r="D17" s="33" t="s">
        <v>178</v>
      </c>
      <c r="E17" s="22">
        <v>7</v>
      </c>
      <c r="F17" s="22">
        <v>680</v>
      </c>
      <c r="G17" s="22">
        <v>1</v>
      </c>
      <c r="H17" s="38" t="s">
        <v>179</v>
      </c>
    </row>
    <row r="18" spans="2:8" ht="19" customHeight="1">
      <c r="B18" s="42">
        <v>46274</v>
      </c>
      <c r="C18" s="34" t="s">
        <v>152</v>
      </c>
      <c r="D18" s="34" t="s">
        <v>180</v>
      </c>
      <c r="E18" s="25">
        <v>20</v>
      </c>
      <c r="F18" s="25">
        <v>700</v>
      </c>
      <c r="G18" s="25">
        <v>3</v>
      </c>
      <c r="H18" s="40" t="s">
        <v>181</v>
      </c>
    </row>
    <row r="19" spans="2:8" ht="19" customHeight="1">
      <c r="B19" s="41">
        <v>46274</v>
      </c>
      <c r="C19" s="33" t="s">
        <v>156</v>
      </c>
      <c r="D19" s="33" t="s">
        <v>169</v>
      </c>
      <c r="E19" s="22">
        <v>2</v>
      </c>
      <c r="F19" s="22">
        <v>702</v>
      </c>
      <c r="G19" s="22">
        <v>1</v>
      </c>
      <c r="H19" s="38" t="s">
        <v>182</v>
      </c>
    </row>
    <row r="20" spans="2:8" ht="19" customHeight="1">
      <c r="B20" s="42">
        <v>46274</v>
      </c>
      <c r="C20" s="34" t="s">
        <v>156</v>
      </c>
      <c r="D20" s="34" t="s">
        <v>169</v>
      </c>
      <c r="E20" s="25">
        <v>1</v>
      </c>
      <c r="F20" s="25">
        <v>703</v>
      </c>
      <c r="G20" s="25">
        <v>1</v>
      </c>
      <c r="H20" s="40" t="s">
        <v>183</v>
      </c>
    </row>
    <row r="21" spans="2:8" ht="19" customHeight="1">
      <c r="B21" s="41">
        <v>46274</v>
      </c>
      <c r="C21" s="33" t="s">
        <v>156</v>
      </c>
      <c r="D21" s="33" t="s">
        <v>169</v>
      </c>
      <c r="E21" s="22">
        <v>1</v>
      </c>
      <c r="F21" s="22">
        <v>704</v>
      </c>
      <c r="G21" s="22">
        <v>1</v>
      </c>
      <c r="H21" s="38" t="s">
        <v>184</v>
      </c>
    </row>
    <row r="22" spans="2:8" ht="19" customHeight="1">
      <c r="B22" s="42">
        <v>46275</v>
      </c>
      <c r="C22" s="34" t="s">
        <v>28</v>
      </c>
      <c r="D22" s="34" t="s">
        <v>78</v>
      </c>
      <c r="E22" s="25">
        <v>2</v>
      </c>
      <c r="F22" s="25">
        <v>706</v>
      </c>
      <c r="G22" s="25">
        <v>1</v>
      </c>
      <c r="H22" s="40" t="s">
        <v>185</v>
      </c>
    </row>
    <row r="23" spans="2:8" ht="19" customHeight="1">
      <c r="B23" s="41">
        <v>46275</v>
      </c>
      <c r="C23" s="33" t="s">
        <v>28</v>
      </c>
      <c r="D23" s="33" t="s">
        <v>78</v>
      </c>
      <c r="E23" s="22">
        <v>1</v>
      </c>
      <c r="F23" s="22">
        <v>707</v>
      </c>
      <c r="G23" s="22">
        <v>2</v>
      </c>
      <c r="H23" s="38" t="s">
        <v>186</v>
      </c>
    </row>
    <row r="24" spans="2:8" ht="19" customHeight="1">
      <c r="B24" s="42">
        <v>46275</v>
      </c>
      <c r="C24" s="34" t="s">
        <v>156</v>
      </c>
      <c r="D24" s="34" t="s">
        <v>169</v>
      </c>
      <c r="E24" s="25">
        <v>1</v>
      </c>
      <c r="F24" s="25">
        <v>708</v>
      </c>
      <c r="G24" s="25">
        <v>1</v>
      </c>
      <c r="H24" s="40" t="s">
        <v>187</v>
      </c>
    </row>
    <row r="25" spans="2:8" ht="19" customHeight="1">
      <c r="B25" s="41">
        <v>46275</v>
      </c>
      <c r="C25" s="33" t="s">
        <v>156</v>
      </c>
      <c r="D25" s="33" t="s">
        <v>169</v>
      </c>
      <c r="E25" s="22">
        <v>1</v>
      </c>
      <c r="F25" s="22">
        <v>709</v>
      </c>
      <c r="G25" s="22">
        <v>1</v>
      </c>
      <c r="H25" s="38" t="s">
        <v>188</v>
      </c>
    </row>
    <row r="26" spans="2:8" ht="19" customHeight="1">
      <c r="B26" s="42">
        <v>46280</v>
      </c>
      <c r="C26" s="34" t="s">
        <v>156</v>
      </c>
      <c r="D26" s="34" t="s">
        <v>169</v>
      </c>
      <c r="E26" s="25">
        <v>1</v>
      </c>
      <c r="F26" s="25">
        <v>710</v>
      </c>
      <c r="G26" s="25">
        <v>1</v>
      </c>
      <c r="H26" s="40" t="s">
        <v>189</v>
      </c>
    </row>
    <row r="27" spans="2:8" ht="19" customHeight="1">
      <c r="B27" s="41">
        <v>46283</v>
      </c>
      <c r="C27" s="33" t="s">
        <v>146</v>
      </c>
      <c r="D27" s="33" t="s">
        <v>167</v>
      </c>
      <c r="E27" s="22">
        <v>66</v>
      </c>
      <c r="F27" s="22">
        <v>776</v>
      </c>
      <c r="G27" s="22">
        <v>66</v>
      </c>
      <c r="H27" s="38" t="s">
        <v>190</v>
      </c>
    </row>
    <row r="28" spans="2:8" ht="19" customHeight="1">
      <c r="B28" s="42">
        <v>46283</v>
      </c>
      <c r="C28" s="34" t="s">
        <v>156</v>
      </c>
      <c r="D28" s="34" t="s">
        <v>169</v>
      </c>
      <c r="E28" s="25">
        <v>1</v>
      </c>
      <c r="F28" s="25">
        <v>777</v>
      </c>
      <c r="G28" s="25">
        <v>1</v>
      </c>
      <c r="H28" s="40" t="s">
        <v>191</v>
      </c>
    </row>
    <row r="29" spans="2:8" ht="19" customHeight="1">
      <c r="B29" s="41">
        <v>46289</v>
      </c>
      <c r="C29" s="33" t="s">
        <v>27</v>
      </c>
      <c r="D29" s="33" t="s">
        <v>192</v>
      </c>
      <c r="E29" s="22">
        <v>1500</v>
      </c>
      <c r="F29" s="22">
        <v>2277</v>
      </c>
      <c r="G29" s="22">
        <v>1500</v>
      </c>
      <c r="H29" s="38" t="s">
        <v>193</v>
      </c>
    </row>
    <row r="30" spans="2:8" ht="19" customHeight="1">
      <c r="B30" s="42">
        <v>46289</v>
      </c>
      <c r="C30" s="34" t="s">
        <v>146</v>
      </c>
      <c r="D30" s="34" t="s">
        <v>194</v>
      </c>
      <c r="E30" s="25">
        <v>182</v>
      </c>
      <c r="F30" s="25">
        <v>2459</v>
      </c>
      <c r="G30" s="25">
        <v>182</v>
      </c>
      <c r="H30" s="40" t="s">
        <v>195</v>
      </c>
    </row>
    <row r="31" spans="2:8" ht="19" customHeight="1">
      <c r="B31" s="41">
        <v>46289</v>
      </c>
      <c r="C31" s="33" t="s">
        <v>145</v>
      </c>
      <c r="D31" s="33" t="s">
        <v>196</v>
      </c>
      <c r="E31" s="22">
        <v>130</v>
      </c>
      <c r="F31" s="22">
        <v>2589</v>
      </c>
      <c r="G31" s="22">
        <v>65</v>
      </c>
      <c r="H31" s="38" t="s">
        <v>197</v>
      </c>
    </row>
    <row r="32" spans="2:8" ht="19" customHeight="1">
      <c r="B32" s="42">
        <v>46290</v>
      </c>
      <c r="C32" s="34" t="s">
        <v>27</v>
      </c>
      <c r="D32" s="34" t="s">
        <v>192</v>
      </c>
      <c r="E32" s="25">
        <v>700</v>
      </c>
      <c r="F32" s="25">
        <v>3289</v>
      </c>
      <c r="G32" s="25">
        <v>700</v>
      </c>
      <c r="H32" s="40" t="s">
        <v>198</v>
      </c>
    </row>
    <row r="33" spans="2:8" ht="19" customHeight="1">
      <c r="B33" s="41">
        <v>46293</v>
      </c>
      <c r="C33" s="33" t="s">
        <v>27</v>
      </c>
      <c r="D33" s="33" t="s">
        <v>93</v>
      </c>
      <c r="E33" s="22">
        <v>400</v>
      </c>
      <c r="F33" s="22">
        <v>3689</v>
      </c>
      <c r="G33" s="22">
        <v>400</v>
      </c>
      <c r="H33" s="38" t="s">
        <v>199</v>
      </c>
    </row>
    <row r="34" spans="2:8" ht="19" customHeight="1">
      <c r="B34" s="42">
        <v>46293</v>
      </c>
      <c r="C34" s="34" t="s">
        <v>145</v>
      </c>
      <c r="D34" s="34" t="s">
        <v>196</v>
      </c>
      <c r="E34" s="25">
        <v>140</v>
      </c>
      <c r="F34" s="25">
        <v>3829</v>
      </c>
      <c r="G34" s="25">
        <v>140</v>
      </c>
      <c r="H34" s="40" t="s">
        <v>200</v>
      </c>
    </row>
    <row r="35" spans="2:8" ht="19" customHeight="1">
      <c r="B35" s="41">
        <v>46294</v>
      </c>
      <c r="C35" s="33" t="s">
        <v>27</v>
      </c>
      <c r="D35" s="33" t="s">
        <v>93</v>
      </c>
      <c r="E35" s="22">
        <v>300</v>
      </c>
      <c r="F35" s="22">
        <v>4129</v>
      </c>
      <c r="G35" s="22">
        <v>300</v>
      </c>
      <c r="H35" s="38" t="s">
        <v>201</v>
      </c>
    </row>
    <row r="36" spans="2:8" ht="19" customHeight="1">
      <c r="B36" s="42">
        <v>46294</v>
      </c>
      <c r="C36" s="34" t="s">
        <v>147</v>
      </c>
      <c r="D36" s="34" t="s">
        <v>202</v>
      </c>
      <c r="E36" s="25">
        <v>60</v>
      </c>
      <c r="F36" s="25">
        <v>4189</v>
      </c>
      <c r="G36" s="25">
        <v>23</v>
      </c>
      <c r="H36" s="40" t="s">
        <v>203</v>
      </c>
    </row>
    <row r="37" spans="2:8" ht="19" customHeight="1">
      <c r="B37" s="41">
        <v>46294</v>
      </c>
      <c r="C37" s="33" t="s">
        <v>159</v>
      </c>
      <c r="D37" s="33" t="s">
        <v>204</v>
      </c>
      <c r="E37" s="22">
        <v>7</v>
      </c>
      <c r="F37" s="22">
        <v>4196</v>
      </c>
      <c r="G37" s="22">
        <v>1</v>
      </c>
      <c r="H37" s="38" t="s">
        <v>205</v>
      </c>
    </row>
    <row r="38" spans="2:8" ht="19" customHeight="1">
      <c r="B38" s="42">
        <v>46295</v>
      </c>
      <c r="C38" s="34" t="s">
        <v>127</v>
      </c>
      <c r="D38" s="34" t="s">
        <v>206</v>
      </c>
      <c r="E38" s="25">
        <v>10</v>
      </c>
      <c r="F38" s="25">
        <v>4206</v>
      </c>
      <c r="G38" s="25">
        <v>3</v>
      </c>
      <c r="H38" s="40" t="s">
        <v>207</v>
      </c>
    </row>
    <row r="39" spans="2:8" ht="19" customHeight="1">
      <c r="B39" s="41">
        <v>46296</v>
      </c>
      <c r="C39" s="33" t="s">
        <v>145</v>
      </c>
      <c r="D39" s="33" t="s">
        <v>196</v>
      </c>
      <c r="E39" s="22">
        <v>540</v>
      </c>
      <c r="F39" s="22">
        <v>4746</v>
      </c>
      <c r="G39" s="22">
        <v>270</v>
      </c>
      <c r="H39" s="38" t="s">
        <v>208</v>
      </c>
    </row>
    <row r="40" spans="2:8" ht="19" customHeight="1">
      <c r="B40" s="42">
        <v>46296</v>
      </c>
      <c r="C40" s="34" t="s">
        <v>145</v>
      </c>
      <c r="D40" s="34" t="s">
        <v>209</v>
      </c>
      <c r="E40" s="25">
        <v>120</v>
      </c>
      <c r="F40" s="25">
        <v>4866</v>
      </c>
      <c r="G40" s="25">
        <v>120</v>
      </c>
      <c r="H40" s="40" t="s">
        <v>210</v>
      </c>
    </row>
    <row r="41" spans="2:8" ht="19" customHeight="1">
      <c r="B41" s="41">
        <v>46296</v>
      </c>
      <c r="C41" s="33" t="s">
        <v>145</v>
      </c>
      <c r="D41" s="33" t="s">
        <v>209</v>
      </c>
      <c r="E41" s="22">
        <v>80</v>
      </c>
      <c r="F41" s="22">
        <v>4946</v>
      </c>
      <c r="G41" s="22">
        <v>80</v>
      </c>
      <c r="H41" s="38" t="s">
        <v>211</v>
      </c>
    </row>
    <row r="42" spans="2:8" ht="19" customHeight="1">
      <c r="B42" s="42">
        <v>46296</v>
      </c>
      <c r="C42" s="34" t="s">
        <v>146</v>
      </c>
      <c r="D42" s="34" t="s">
        <v>167</v>
      </c>
      <c r="E42" s="25">
        <v>5</v>
      </c>
      <c r="F42" s="25">
        <v>4951</v>
      </c>
      <c r="G42" s="25">
        <v>5</v>
      </c>
      <c r="H42" s="40" t="s">
        <v>212</v>
      </c>
    </row>
    <row r="43" spans="2:8" ht="19" customHeight="1">
      <c r="B43" s="41">
        <v>46296</v>
      </c>
      <c r="C43" s="33" t="s">
        <v>156</v>
      </c>
      <c r="D43" s="33" t="s">
        <v>169</v>
      </c>
      <c r="E43" s="22">
        <v>1</v>
      </c>
      <c r="F43" s="22">
        <v>4952</v>
      </c>
      <c r="G43" s="22">
        <v>1</v>
      </c>
      <c r="H43" s="38" t="s">
        <v>213</v>
      </c>
    </row>
    <row r="44" spans="2:8" ht="19" customHeight="1">
      <c r="B44" s="42">
        <v>46296</v>
      </c>
      <c r="C44" s="34" t="s">
        <v>156</v>
      </c>
      <c r="D44" s="34" t="s">
        <v>169</v>
      </c>
      <c r="E44" s="25">
        <v>1</v>
      </c>
      <c r="F44" s="25">
        <v>4953</v>
      </c>
      <c r="G44" s="25">
        <v>1</v>
      </c>
      <c r="H44" s="40" t="s">
        <v>214</v>
      </c>
    </row>
    <row r="45" spans="2:8" ht="19" customHeight="1">
      <c r="B45" s="41">
        <v>46297</v>
      </c>
      <c r="C45" s="33" t="s">
        <v>146</v>
      </c>
      <c r="D45" s="33" t="s">
        <v>150</v>
      </c>
      <c r="E45" s="22">
        <v>87</v>
      </c>
      <c r="F45" s="22">
        <v>5040</v>
      </c>
      <c r="G45" s="22">
        <v>87</v>
      </c>
      <c r="H45" s="38" t="s">
        <v>215</v>
      </c>
    </row>
    <row r="46" spans="2:8" ht="19" customHeight="1">
      <c r="B46" s="42">
        <v>46297</v>
      </c>
      <c r="C46" s="34" t="s">
        <v>145</v>
      </c>
      <c r="D46" s="34" t="s">
        <v>209</v>
      </c>
      <c r="E46" s="25">
        <v>85</v>
      </c>
      <c r="F46" s="25">
        <v>5125</v>
      </c>
      <c r="G46" s="25">
        <v>85</v>
      </c>
      <c r="H46" s="40" t="s">
        <v>216</v>
      </c>
    </row>
    <row r="47" spans="2:8" ht="19" customHeight="1">
      <c r="B47" s="41">
        <v>46297</v>
      </c>
      <c r="C47" s="33" t="s">
        <v>148</v>
      </c>
      <c r="D47" s="33" t="s">
        <v>217</v>
      </c>
      <c r="E47" s="22">
        <v>85</v>
      </c>
      <c r="F47" s="22">
        <v>5210</v>
      </c>
      <c r="G47" s="22">
        <v>85</v>
      </c>
      <c r="H47" s="38" t="s">
        <v>218</v>
      </c>
    </row>
    <row r="48" spans="2:8" ht="19" customHeight="1">
      <c r="B48" s="42">
        <v>46298</v>
      </c>
      <c r="C48" s="34" t="s">
        <v>145</v>
      </c>
      <c r="D48" s="34" t="s">
        <v>219</v>
      </c>
      <c r="E48" s="25">
        <v>772</v>
      </c>
      <c r="F48" s="25">
        <v>5982</v>
      </c>
      <c r="G48" s="25">
        <v>772</v>
      </c>
      <c r="H48" s="40" t="s">
        <v>220</v>
      </c>
    </row>
    <row r="49" spans="2:8" ht="19" customHeight="1">
      <c r="B49" s="41">
        <v>46298</v>
      </c>
      <c r="C49" s="33" t="s">
        <v>145</v>
      </c>
      <c r="D49" s="33" t="s">
        <v>196</v>
      </c>
      <c r="E49" s="22">
        <v>18</v>
      </c>
      <c r="F49" s="22">
        <v>6000</v>
      </c>
      <c r="G49" s="22">
        <v>18</v>
      </c>
      <c r="H49" s="38" t="s">
        <v>221</v>
      </c>
    </row>
    <row r="50" spans="2:8" ht="19" customHeight="1">
      <c r="B50" s="42">
        <v>46300</v>
      </c>
      <c r="C50" s="34" t="s">
        <v>27</v>
      </c>
      <c r="D50" s="34" t="s">
        <v>60</v>
      </c>
      <c r="E50" s="25">
        <v>1500</v>
      </c>
      <c r="F50" s="25">
        <v>7500</v>
      </c>
      <c r="G50" s="25">
        <v>1500</v>
      </c>
      <c r="H50" s="40" t="s">
        <v>222</v>
      </c>
    </row>
    <row r="51" spans="2:8" ht="19" customHeight="1">
      <c r="B51" s="41">
        <v>46300</v>
      </c>
      <c r="C51" s="33" t="s">
        <v>127</v>
      </c>
      <c r="D51" s="33" t="s">
        <v>152</v>
      </c>
      <c r="E51" s="22">
        <v>10</v>
      </c>
      <c r="F51" s="22">
        <v>7510</v>
      </c>
      <c r="G51" s="22">
        <v>10</v>
      </c>
      <c r="H51" s="38" t="s">
        <v>223</v>
      </c>
    </row>
    <row r="52" spans="2:8" ht="19" customHeight="1">
      <c r="B52" s="42">
        <v>46301</v>
      </c>
      <c r="C52" s="34" t="s">
        <v>145</v>
      </c>
      <c r="D52" s="34" t="s">
        <v>145</v>
      </c>
      <c r="E52" s="25">
        <v>1270</v>
      </c>
      <c r="F52" s="25">
        <v>8780</v>
      </c>
      <c r="G52" s="25">
        <v>1270</v>
      </c>
      <c r="H52" s="40" t="s">
        <v>224</v>
      </c>
    </row>
    <row r="53" spans="2:8" ht="19" customHeight="1">
      <c r="B53" s="41">
        <v>46301</v>
      </c>
      <c r="C53" s="33" t="s">
        <v>145</v>
      </c>
      <c r="D53" s="33" t="s">
        <v>196</v>
      </c>
      <c r="E53" s="22">
        <v>50</v>
      </c>
      <c r="F53" s="22">
        <v>8830</v>
      </c>
      <c r="G53" s="22">
        <v>50</v>
      </c>
      <c r="H53" s="38" t="s">
        <v>225</v>
      </c>
    </row>
    <row r="54" spans="2:8" ht="19" customHeight="1">
      <c r="B54" s="42">
        <v>46303</v>
      </c>
      <c r="C54" s="34" t="s">
        <v>150</v>
      </c>
      <c r="D54" s="34" t="s">
        <v>226</v>
      </c>
      <c r="E54" s="25">
        <v>141</v>
      </c>
      <c r="F54" s="25">
        <v>8971</v>
      </c>
      <c r="G54" s="25">
        <v>141</v>
      </c>
      <c r="H54" s="40" t="s">
        <v>227</v>
      </c>
    </row>
    <row r="55" spans="2:8" ht="19" customHeight="1">
      <c r="B55" s="41">
        <v>46303</v>
      </c>
      <c r="C55" s="33" t="s">
        <v>145</v>
      </c>
      <c r="D55" s="33" t="s">
        <v>196</v>
      </c>
      <c r="E55" s="22">
        <v>125</v>
      </c>
      <c r="F55" s="22">
        <v>9096</v>
      </c>
      <c r="G55" s="22">
        <v>125</v>
      </c>
      <c r="H55" s="38" t="s">
        <v>228</v>
      </c>
    </row>
    <row r="56" spans="2:8" ht="19" customHeight="1">
      <c r="B56" s="42">
        <v>46303</v>
      </c>
      <c r="C56" s="34" t="s">
        <v>145</v>
      </c>
      <c r="D56" s="34" t="s">
        <v>196</v>
      </c>
      <c r="E56" s="25">
        <v>75</v>
      </c>
      <c r="F56" s="25">
        <v>9171</v>
      </c>
      <c r="G56" s="25">
        <v>75</v>
      </c>
      <c r="H56" s="40" t="s">
        <v>229</v>
      </c>
    </row>
    <row r="57" spans="2:8" ht="19" customHeight="1">
      <c r="B57" s="41">
        <v>46303</v>
      </c>
      <c r="C57" s="33" t="s">
        <v>145</v>
      </c>
      <c r="D57" s="33" t="s">
        <v>196</v>
      </c>
      <c r="E57" s="22">
        <v>40</v>
      </c>
      <c r="F57" s="22">
        <v>9211</v>
      </c>
      <c r="G57" s="22">
        <v>40</v>
      </c>
      <c r="H57" s="38" t="s">
        <v>230</v>
      </c>
    </row>
    <row r="58" spans="2:8" ht="19" customHeight="1">
      <c r="B58" s="42">
        <v>46303</v>
      </c>
      <c r="C58" s="34" t="s">
        <v>148</v>
      </c>
      <c r="D58" s="34" t="s">
        <v>217</v>
      </c>
      <c r="E58" s="25">
        <v>40</v>
      </c>
      <c r="F58" s="25">
        <v>9251</v>
      </c>
      <c r="G58" s="25">
        <v>40</v>
      </c>
      <c r="H58" s="40" t="s">
        <v>231</v>
      </c>
    </row>
    <row r="59" spans="2:8" ht="19" customHeight="1">
      <c r="B59" s="41">
        <v>46304</v>
      </c>
      <c r="C59" s="33" t="s">
        <v>146</v>
      </c>
      <c r="D59" s="33" t="s">
        <v>167</v>
      </c>
      <c r="E59" s="22">
        <v>11</v>
      </c>
      <c r="F59" s="22">
        <v>9262</v>
      </c>
      <c r="G59" s="22">
        <v>11</v>
      </c>
      <c r="H59" s="38" t="s">
        <v>232</v>
      </c>
    </row>
    <row r="60" spans="2:8" ht="19" customHeight="1">
      <c r="B60" s="42">
        <v>46305</v>
      </c>
      <c r="C60" s="34" t="s">
        <v>147</v>
      </c>
      <c r="D60" s="34" t="s">
        <v>233</v>
      </c>
      <c r="E60" s="25">
        <v>70</v>
      </c>
      <c r="F60" s="25">
        <v>9332</v>
      </c>
      <c r="G60" s="25">
        <v>30</v>
      </c>
      <c r="H60" s="40" t="s">
        <v>234</v>
      </c>
    </row>
    <row r="61" spans="2:8" ht="19" customHeight="1">
      <c r="B61" s="41">
        <v>46305</v>
      </c>
      <c r="C61" s="33" t="s">
        <v>151</v>
      </c>
      <c r="D61" s="33" t="s">
        <v>235</v>
      </c>
      <c r="E61" s="22">
        <v>29</v>
      </c>
      <c r="F61" s="22">
        <v>9361</v>
      </c>
      <c r="G61" s="22">
        <v>30</v>
      </c>
      <c r="H61" s="38" t="s">
        <v>236</v>
      </c>
    </row>
    <row r="62" spans="2:8" ht="19" customHeight="1">
      <c r="B62" s="42">
        <v>46307</v>
      </c>
      <c r="C62" s="34" t="s">
        <v>148</v>
      </c>
      <c r="D62" s="34" t="s">
        <v>217</v>
      </c>
      <c r="E62" s="25">
        <v>22</v>
      </c>
      <c r="F62" s="25">
        <v>9383</v>
      </c>
      <c r="G62" s="25">
        <v>22</v>
      </c>
      <c r="H62" s="40" t="s">
        <v>237</v>
      </c>
    </row>
    <row r="63" spans="2:8" ht="19" customHeight="1">
      <c r="B63" s="41">
        <v>46307</v>
      </c>
      <c r="C63" s="33" t="s">
        <v>158</v>
      </c>
      <c r="D63" s="33" t="s">
        <v>238</v>
      </c>
      <c r="E63" s="22">
        <v>6</v>
      </c>
      <c r="F63" s="22">
        <v>9389</v>
      </c>
      <c r="G63" s="22">
        <v>1</v>
      </c>
      <c r="H63" s="38" t="s">
        <v>239</v>
      </c>
    </row>
    <row r="64" spans="2:8" ht="19" customHeight="1">
      <c r="B64" s="42">
        <v>46308</v>
      </c>
      <c r="C64" s="34" t="s">
        <v>153</v>
      </c>
      <c r="D64" s="34" t="s">
        <v>240</v>
      </c>
      <c r="E64" s="25">
        <v>64</v>
      </c>
      <c r="F64" s="25">
        <v>9453</v>
      </c>
      <c r="G64" s="25">
        <v>32</v>
      </c>
      <c r="H64" s="40" t="s">
        <v>241</v>
      </c>
    </row>
    <row r="65" spans="2:8" ht="19" customHeight="1">
      <c r="B65" s="41">
        <v>46308</v>
      </c>
      <c r="C65" s="33" t="s">
        <v>154</v>
      </c>
      <c r="D65" s="33" t="s">
        <v>242</v>
      </c>
      <c r="E65" s="22">
        <v>24</v>
      </c>
      <c r="F65" s="22">
        <v>9477</v>
      </c>
      <c r="G65" s="22">
        <v>6</v>
      </c>
      <c r="H65" s="38" t="s">
        <v>243</v>
      </c>
    </row>
    <row r="66" spans="2:8" ht="19" customHeight="1">
      <c r="B66" s="42">
        <v>46309</v>
      </c>
      <c r="C66" s="34" t="s">
        <v>148</v>
      </c>
      <c r="D66" s="34" t="s">
        <v>217</v>
      </c>
      <c r="E66" s="25">
        <v>135</v>
      </c>
      <c r="F66" s="25">
        <v>9612</v>
      </c>
      <c r="G66" s="25">
        <v>135</v>
      </c>
      <c r="H66" s="40" t="s">
        <v>244</v>
      </c>
    </row>
    <row r="67" spans="2:8" ht="19" customHeight="1">
      <c r="B67" s="41">
        <v>46310</v>
      </c>
      <c r="C67" s="33" t="s">
        <v>28</v>
      </c>
      <c r="D67" s="33" t="s">
        <v>245</v>
      </c>
      <c r="E67" s="22">
        <v>7</v>
      </c>
      <c r="F67" s="22">
        <v>9619</v>
      </c>
      <c r="G67" s="22">
        <v>7</v>
      </c>
      <c r="H67" s="38" t="s">
        <v>246</v>
      </c>
    </row>
    <row r="68" spans="2:8" ht="19" customHeight="1">
      <c r="B68" s="42">
        <v>46311</v>
      </c>
      <c r="C68" s="34" t="s">
        <v>147</v>
      </c>
      <c r="D68" s="34" t="s">
        <v>247</v>
      </c>
      <c r="E68" s="25">
        <v>200</v>
      </c>
      <c r="F68" s="25">
        <v>9819</v>
      </c>
      <c r="G68" s="25">
        <v>200</v>
      </c>
      <c r="H68" s="40" t="s">
        <v>248</v>
      </c>
    </row>
    <row r="69" spans="2:8" ht="19" customHeight="1">
      <c r="B69" s="41">
        <v>46311</v>
      </c>
      <c r="C69" s="33" t="s">
        <v>155</v>
      </c>
      <c r="D69" s="33" t="s">
        <v>249</v>
      </c>
      <c r="E69" s="22">
        <v>44</v>
      </c>
      <c r="F69" s="22">
        <v>9863</v>
      </c>
      <c r="G69" s="22">
        <v>44</v>
      </c>
      <c r="H69" s="38" t="s">
        <v>250</v>
      </c>
    </row>
    <row r="70" spans="2:8" ht="19" customHeight="1">
      <c r="B70" s="42">
        <v>46311</v>
      </c>
      <c r="C70" s="34" t="s">
        <v>146</v>
      </c>
      <c r="D70" s="34" t="s">
        <v>167</v>
      </c>
      <c r="E70" s="25">
        <v>30</v>
      </c>
      <c r="F70" s="25">
        <v>9893</v>
      </c>
      <c r="G70" s="25">
        <v>30</v>
      </c>
      <c r="H70" s="40" t="s">
        <v>251</v>
      </c>
    </row>
    <row r="71" spans="2:8" ht="19" customHeight="1">
      <c r="B71" s="41">
        <v>46311</v>
      </c>
      <c r="C71" s="33" t="s">
        <v>160</v>
      </c>
      <c r="D71" s="33" t="s">
        <v>252</v>
      </c>
      <c r="E71" s="22">
        <v>4</v>
      </c>
      <c r="F71" s="22">
        <v>9897</v>
      </c>
      <c r="G71" s="22">
        <v>4</v>
      </c>
      <c r="H71" s="38" t="s">
        <v>253</v>
      </c>
    </row>
    <row r="72" spans="2:8" ht="19" customHeight="1">
      <c r="B72" s="42">
        <v>46311</v>
      </c>
      <c r="C72" s="34" t="s">
        <v>160</v>
      </c>
      <c r="D72" s="34" t="s">
        <v>160</v>
      </c>
      <c r="E72" s="25">
        <v>3</v>
      </c>
      <c r="F72" s="25">
        <v>9900</v>
      </c>
      <c r="G72" s="25">
        <v>3</v>
      </c>
      <c r="H72" s="40" t="s">
        <v>254</v>
      </c>
    </row>
    <row r="73" spans="2:8" ht="19" customHeight="1">
      <c r="B73" s="41">
        <v>46312</v>
      </c>
      <c r="C73" s="33" t="s">
        <v>151</v>
      </c>
      <c r="D73" s="33" t="s">
        <v>255</v>
      </c>
      <c r="E73" s="22">
        <v>20</v>
      </c>
      <c r="F73" s="22">
        <v>9920</v>
      </c>
      <c r="G73" s="22">
        <v>20</v>
      </c>
      <c r="H73" s="38" t="s">
        <v>256</v>
      </c>
    </row>
    <row r="74" spans="2:8" ht="19" customHeight="1">
      <c r="B74" s="42">
        <v>46314</v>
      </c>
      <c r="C74" s="34" t="s">
        <v>154</v>
      </c>
      <c r="D74" s="34" t="s">
        <v>257</v>
      </c>
      <c r="E74" s="25">
        <v>36</v>
      </c>
      <c r="F74" s="25">
        <v>9956</v>
      </c>
      <c r="G74" s="25">
        <v>9</v>
      </c>
      <c r="H74" s="40" t="s">
        <v>258</v>
      </c>
    </row>
    <row r="75" spans="2:8" ht="19" customHeight="1">
      <c r="B75" s="41">
        <v>46315</v>
      </c>
      <c r="C75" s="33" t="s">
        <v>27</v>
      </c>
      <c r="D75" s="33" t="s">
        <v>60</v>
      </c>
      <c r="E75" s="22">
        <v>1000</v>
      </c>
      <c r="F75" s="22">
        <v>10956</v>
      </c>
      <c r="G75" s="22">
        <v>1000</v>
      </c>
      <c r="H75" s="38" t="s">
        <v>259</v>
      </c>
    </row>
    <row r="76" spans="2:8" ht="19" customHeight="1">
      <c r="B76" s="42">
        <v>46315</v>
      </c>
      <c r="C76" s="34" t="s">
        <v>27</v>
      </c>
      <c r="D76" s="34" t="s">
        <v>93</v>
      </c>
      <c r="E76" s="25">
        <v>800</v>
      </c>
      <c r="F76" s="25">
        <v>11756</v>
      </c>
      <c r="G76" s="25">
        <v>800</v>
      </c>
      <c r="H76" s="40" t="s">
        <v>260</v>
      </c>
    </row>
    <row r="77" spans="2:8" ht="19" customHeight="1">
      <c r="B77" s="41">
        <v>46315</v>
      </c>
      <c r="C77" s="33" t="s">
        <v>27</v>
      </c>
      <c r="D77" s="33" t="s">
        <v>93</v>
      </c>
      <c r="E77" s="22">
        <v>300</v>
      </c>
      <c r="F77" s="22">
        <v>12056</v>
      </c>
      <c r="G77" s="22">
        <v>300</v>
      </c>
      <c r="H77" s="38" t="s">
        <v>261</v>
      </c>
    </row>
    <row r="78" spans="2:8" ht="19" customHeight="1">
      <c r="B78" s="42">
        <v>46315</v>
      </c>
      <c r="C78" s="34" t="s">
        <v>148</v>
      </c>
      <c r="D78" s="34" t="s">
        <v>217</v>
      </c>
      <c r="E78" s="25">
        <v>216</v>
      </c>
      <c r="F78" s="25">
        <v>12272</v>
      </c>
      <c r="G78" s="25">
        <v>216</v>
      </c>
      <c r="H78" s="40" t="s">
        <v>262</v>
      </c>
    </row>
    <row r="79" spans="2:8" ht="19" customHeight="1">
      <c r="B79" s="41">
        <v>46316</v>
      </c>
      <c r="C79" s="33" t="s">
        <v>157</v>
      </c>
      <c r="D79" s="33" t="s">
        <v>263</v>
      </c>
      <c r="E79" s="22">
        <v>17</v>
      </c>
      <c r="F79" s="22">
        <v>12289</v>
      </c>
      <c r="G79" s="22">
        <v>17</v>
      </c>
      <c r="H79" s="38" t="s">
        <v>264</v>
      </c>
    </row>
    <row r="80" spans="2:8" ht="19" customHeight="1">
      <c r="B80" s="42">
        <v>46316</v>
      </c>
      <c r="C80" s="34" t="s">
        <v>158</v>
      </c>
      <c r="D80" s="34" t="s">
        <v>265</v>
      </c>
      <c r="E80" s="25">
        <v>5</v>
      </c>
      <c r="F80" s="25">
        <v>12294</v>
      </c>
      <c r="G80" s="25">
        <v>1</v>
      </c>
      <c r="H80" s="40" t="s">
        <v>266</v>
      </c>
    </row>
    <row r="81" spans="2:8" ht="19" customHeight="1">
      <c r="B81" s="41">
        <v>46316</v>
      </c>
      <c r="C81" s="33" t="s">
        <v>156</v>
      </c>
      <c r="D81" s="33" t="s">
        <v>169</v>
      </c>
      <c r="E81" s="22">
        <v>3</v>
      </c>
      <c r="F81" s="22">
        <v>12297</v>
      </c>
      <c r="G81" s="22">
        <v>5</v>
      </c>
      <c r="H81" s="38" t="s">
        <v>267</v>
      </c>
    </row>
    <row r="82" spans="2:8" ht="19" customHeight="1">
      <c r="B82" s="42">
        <v>46317</v>
      </c>
      <c r="C82" s="34" t="s">
        <v>152</v>
      </c>
      <c r="D82" s="34" t="s">
        <v>176</v>
      </c>
      <c r="E82" s="25">
        <v>11</v>
      </c>
      <c r="F82" s="25">
        <v>12308</v>
      </c>
      <c r="G82" s="25">
        <v>1</v>
      </c>
      <c r="H82" s="40" t="s">
        <v>268</v>
      </c>
    </row>
    <row r="83" spans="2:8" ht="19" customHeight="1">
      <c r="B83" s="41">
        <v>46317</v>
      </c>
      <c r="C83" s="33" t="s">
        <v>28</v>
      </c>
      <c r="D83" s="33" t="s">
        <v>78</v>
      </c>
      <c r="E83" s="22">
        <v>3</v>
      </c>
      <c r="F83" s="22">
        <v>12311</v>
      </c>
      <c r="G83" s="22">
        <v>3</v>
      </c>
      <c r="H83" s="38" t="s">
        <v>269</v>
      </c>
    </row>
    <row r="84" spans="2:8" ht="19" customHeight="1">
      <c r="B84" s="42">
        <v>46318</v>
      </c>
      <c r="C84" s="34" t="s">
        <v>27</v>
      </c>
      <c r="D84" s="34" t="s">
        <v>192</v>
      </c>
      <c r="E84" s="25">
        <v>250</v>
      </c>
      <c r="F84" s="25">
        <v>12561</v>
      </c>
      <c r="G84" s="25">
        <v>250</v>
      </c>
      <c r="H84" s="40" t="s">
        <v>270</v>
      </c>
    </row>
    <row r="85" spans="2:8" ht="19" customHeight="1">
      <c r="B85" s="41">
        <v>46319</v>
      </c>
      <c r="C85" s="33" t="s">
        <v>145</v>
      </c>
      <c r="D85" s="33" t="s">
        <v>145</v>
      </c>
      <c r="E85" s="22">
        <v>150</v>
      </c>
      <c r="F85" s="22">
        <v>12711</v>
      </c>
      <c r="G85" s="22">
        <v>150</v>
      </c>
      <c r="H85" s="38" t="s">
        <v>271</v>
      </c>
    </row>
    <row r="86" spans="2:8" ht="19" customHeight="1">
      <c r="B86" s="42">
        <v>46319</v>
      </c>
      <c r="C86" s="34" t="s">
        <v>147</v>
      </c>
      <c r="D86" s="34" t="s">
        <v>233</v>
      </c>
      <c r="E86" s="25">
        <v>100</v>
      </c>
      <c r="F86" s="25">
        <v>12811</v>
      </c>
      <c r="G86" s="25">
        <v>35</v>
      </c>
      <c r="H86" s="40" t="s">
        <v>272</v>
      </c>
    </row>
    <row r="87" spans="2:8" ht="19" customHeight="1">
      <c r="B87" s="41">
        <v>46319</v>
      </c>
      <c r="C87" s="33" t="s">
        <v>27</v>
      </c>
      <c r="D87" s="33" t="s">
        <v>273</v>
      </c>
      <c r="E87" s="22">
        <v>100</v>
      </c>
      <c r="F87" s="22">
        <v>12911</v>
      </c>
      <c r="G87" s="22">
        <v>100</v>
      </c>
      <c r="H87" s="38" t="s">
        <v>274</v>
      </c>
    </row>
    <row r="88" spans="2:8" ht="19" customHeight="1">
      <c r="B88" s="42">
        <v>46319</v>
      </c>
      <c r="C88" s="34" t="s">
        <v>147</v>
      </c>
      <c r="D88" s="34" t="s">
        <v>233</v>
      </c>
      <c r="E88" s="25">
        <v>97</v>
      </c>
      <c r="F88" s="25">
        <v>13008</v>
      </c>
      <c r="G88" s="25">
        <v>30</v>
      </c>
      <c r="H88" s="40" t="s">
        <v>275</v>
      </c>
    </row>
    <row r="89" spans="2:8" ht="19" customHeight="1">
      <c r="B89" s="41">
        <v>46319</v>
      </c>
      <c r="C89" s="33" t="s">
        <v>26</v>
      </c>
      <c r="D89" s="33" t="s">
        <v>54</v>
      </c>
      <c r="E89" s="22">
        <v>66</v>
      </c>
      <c r="F89" s="22">
        <v>13074</v>
      </c>
      <c r="G89" s="22">
        <v>66</v>
      </c>
      <c r="H89" s="38" t="s">
        <v>276</v>
      </c>
    </row>
    <row r="90" spans="2:8" ht="19" customHeight="1">
      <c r="B90" s="42">
        <v>46319</v>
      </c>
      <c r="C90" s="34" t="s">
        <v>127</v>
      </c>
      <c r="D90" s="34" t="s">
        <v>277</v>
      </c>
      <c r="E90" s="25">
        <v>30</v>
      </c>
      <c r="F90" s="25">
        <v>13104</v>
      </c>
      <c r="G90" s="25">
        <v>20</v>
      </c>
      <c r="H90" s="40" t="s">
        <v>278</v>
      </c>
    </row>
    <row r="91" spans="2:8" ht="19" customHeight="1">
      <c r="B91" s="41">
        <v>46319</v>
      </c>
      <c r="C91" s="33" t="s">
        <v>127</v>
      </c>
      <c r="D91" s="33" t="s">
        <v>277</v>
      </c>
      <c r="E91" s="22">
        <v>25</v>
      </c>
      <c r="F91" s="22">
        <v>13129</v>
      </c>
      <c r="G91" s="22">
        <v>20</v>
      </c>
      <c r="H91" s="38" t="s">
        <v>279</v>
      </c>
    </row>
    <row r="92" spans="2:8" ht="19" customHeight="1">
      <c r="B92" s="42">
        <v>46319</v>
      </c>
      <c r="C92" s="34" t="s">
        <v>151</v>
      </c>
      <c r="D92" s="34" t="s">
        <v>280</v>
      </c>
      <c r="E92" s="25">
        <v>15</v>
      </c>
      <c r="F92" s="25">
        <v>13144</v>
      </c>
      <c r="G92" s="25">
        <v>15</v>
      </c>
      <c r="H92" s="40" t="s">
        <v>281</v>
      </c>
    </row>
    <row r="93" spans="2:8" ht="19" customHeight="1">
      <c r="B93" s="41">
        <v>46320</v>
      </c>
      <c r="C93" s="33" t="s">
        <v>151</v>
      </c>
      <c r="D93" s="33" t="s">
        <v>151</v>
      </c>
      <c r="E93" s="22">
        <v>15</v>
      </c>
      <c r="F93" s="22">
        <v>13159</v>
      </c>
      <c r="G93" s="22">
        <v>15</v>
      </c>
      <c r="H93" s="38" t="s">
        <v>282</v>
      </c>
    </row>
    <row r="94" spans="2:8" ht="19" customHeight="1">
      <c r="B94" s="42">
        <v>46320</v>
      </c>
      <c r="C94" s="34" t="s">
        <v>152</v>
      </c>
      <c r="D94" s="34" t="s">
        <v>180</v>
      </c>
      <c r="E94" s="25">
        <v>2</v>
      </c>
      <c r="F94" s="25">
        <v>13161</v>
      </c>
      <c r="G94" s="25">
        <v>1</v>
      </c>
      <c r="H94" s="40" t="s">
        <v>283</v>
      </c>
    </row>
    <row r="95" spans="2:8" ht="19" customHeight="1">
      <c r="B95" s="41">
        <v>46320</v>
      </c>
      <c r="C95" s="33" t="s">
        <v>152</v>
      </c>
      <c r="D95" s="33" t="s">
        <v>180</v>
      </c>
      <c r="E95" s="22">
        <v>1</v>
      </c>
      <c r="F95" s="22">
        <v>13162</v>
      </c>
      <c r="G95" s="22">
        <v>1</v>
      </c>
      <c r="H95" s="38" t="s">
        <v>284</v>
      </c>
    </row>
    <row r="96" spans="2:8" ht="19" customHeight="1">
      <c r="B96" s="42">
        <v>46320</v>
      </c>
      <c r="C96" s="34" t="s">
        <v>152</v>
      </c>
      <c r="D96" s="34" t="s">
        <v>180</v>
      </c>
      <c r="E96" s="25">
        <v>1</v>
      </c>
      <c r="F96" s="25">
        <v>13163</v>
      </c>
      <c r="G96" s="25">
        <v>1</v>
      </c>
      <c r="H96" s="40" t="s">
        <v>285</v>
      </c>
    </row>
    <row r="97" spans="2:8" ht="19" customHeight="1">
      <c r="B97" s="41">
        <v>46320</v>
      </c>
      <c r="C97" s="33" t="s">
        <v>152</v>
      </c>
      <c r="D97" s="33" t="s">
        <v>180</v>
      </c>
      <c r="E97" s="22">
        <v>1</v>
      </c>
      <c r="F97" s="22">
        <v>13164</v>
      </c>
      <c r="G97" s="22">
        <v>1</v>
      </c>
      <c r="H97" s="38" t="s">
        <v>286</v>
      </c>
    </row>
    <row r="98" spans="2:8" ht="19" customHeight="1">
      <c r="B98" s="42">
        <v>46320</v>
      </c>
      <c r="C98" s="34" t="s">
        <v>152</v>
      </c>
      <c r="D98" s="34" t="s">
        <v>180</v>
      </c>
      <c r="E98" s="25">
        <v>1</v>
      </c>
      <c r="F98" s="25">
        <v>13165</v>
      </c>
      <c r="G98" s="25">
        <v>1</v>
      </c>
      <c r="H98" s="40" t="s">
        <v>287</v>
      </c>
    </row>
    <row r="99" spans="2:8" ht="19" customHeight="1">
      <c r="B99" s="41">
        <v>46321</v>
      </c>
      <c r="C99" s="33" t="s">
        <v>145</v>
      </c>
      <c r="D99" s="33" t="s">
        <v>219</v>
      </c>
      <c r="E99" s="22">
        <v>225</v>
      </c>
      <c r="F99" s="22">
        <v>13390</v>
      </c>
      <c r="G99" s="22">
        <v>225</v>
      </c>
      <c r="H99" s="38" t="s">
        <v>288</v>
      </c>
    </row>
    <row r="100" spans="2:8" ht="22" customHeight="1">
      <c r="B100" s="27" t="s">
        <v>23</v>
      </c>
      <c r="C100" s="35"/>
      <c r="D100" s="35"/>
      <c r="E100" s="28">
        <f>SUM(E11:E99)</f>
        <v>13390</v>
      </c>
      <c r="F100" s="35"/>
      <c r="G100" s="28">
        <f>SUM(G11:G99)</f>
        <v>12681</v>
      </c>
      <c r="H100" s="35"/>
    </row>
  </sheetData>
  <autoFilter ref="B10:H99"/>
  <mergeCells count="1">
    <mergeCell ref="B8:H8"/>
  </mergeCells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8C018"/>
    <pageSetUpPr fitToPage="1"/>
  </sheetPr>
  <dimension ref="A1:G36"/>
  <sheetViews>
    <sheetView showGridLines="0" workbookViewId="0"/>
  </sheetViews>
  <sheetFormatPr defaultRowHeight="15"/>
  <cols>
    <col min="1" max="1" width="3.140625" customWidth="1"/>
    <col min="2" max="2" width="24.7109375" customWidth="1"/>
    <col min="3" max="5" width="22.7109375" customWidth="1"/>
    <col min="6" max="6" width="24.7109375" customWidth="1"/>
    <col min="7" max="7" width="3.140625" customWidth="1"/>
  </cols>
  <sheetData>
    <row r="1" spans="1:7" ht="12" customHeight="1">
      <c r="A1" s="1"/>
      <c r="B1" s="1"/>
      <c r="C1" s="1"/>
      <c r="D1" s="1"/>
      <c r="E1" s="1"/>
      <c r="F1" s="1"/>
      <c r="G1" s="1"/>
    </row>
    <row r="2" spans="1:7" ht="40" customHeight="1">
      <c r="A2" s="1"/>
      <c r="B2" s="2" t="s">
        <v>289</v>
      </c>
      <c r="C2" s="1"/>
      <c r="D2" s="1"/>
      <c r="E2" s="1"/>
      <c r="F2" s="1"/>
      <c r="G2" s="1"/>
    </row>
    <row r="3" spans="1:7" ht="22" customHeight="1">
      <c r="A3" s="1"/>
      <c r="B3" s="3" t="s">
        <v>1</v>
      </c>
      <c r="C3" s="1"/>
      <c r="D3" s="1"/>
      <c r="E3" s="1"/>
      <c r="F3" s="1"/>
      <c r="G3" s="1"/>
    </row>
    <row r="4" spans="1:7" ht="20" customHeight="1">
      <c r="A4" s="1"/>
      <c r="B4" s="4" t="s">
        <v>2</v>
      </c>
      <c r="C4" s="1"/>
      <c r="D4" s="1"/>
      <c r="E4" s="1"/>
      <c r="F4" s="1"/>
      <c r="G4" s="1"/>
    </row>
    <row r="5" spans="1:7" ht="5" customHeight="1">
      <c r="A5" s="5"/>
      <c r="B5" s="5"/>
      <c r="C5" s="5"/>
      <c r="D5" s="5"/>
      <c r="E5" s="5"/>
      <c r="F5" s="5"/>
      <c r="G5" s="5"/>
    </row>
    <row r="7" spans="1:7" ht="27" customHeight="1">
      <c r="B7" s="6" t="s">
        <v>290</v>
      </c>
      <c r="C7" s="7"/>
      <c r="D7" s="7"/>
      <c r="E7" s="7"/>
      <c r="F7" s="8" t="s">
        <v>291</v>
      </c>
    </row>
    <row r="8" spans="1:7" ht="36" customHeight="1">
      <c r="B8" s="19" t="s">
        <v>25</v>
      </c>
      <c r="C8" s="20" t="s">
        <v>292</v>
      </c>
      <c r="D8" s="20" t="s">
        <v>293</v>
      </c>
      <c r="E8" s="20" t="s">
        <v>294</v>
      </c>
      <c r="F8" s="20" t="s">
        <v>295</v>
      </c>
    </row>
    <row r="9" spans="1:7" ht="19" customHeight="1">
      <c r="B9" s="21" t="s">
        <v>145</v>
      </c>
      <c r="C9" s="45">
        <v>0</v>
      </c>
      <c r="D9" s="45">
        <v>530</v>
      </c>
      <c r="E9" s="46">
        <v>0</v>
      </c>
      <c r="F9" s="46">
        <v>160558.2</v>
      </c>
    </row>
    <row r="10" spans="1:7" ht="19" customHeight="1">
      <c r="B10" s="24" t="s">
        <v>27</v>
      </c>
      <c r="C10" s="47">
        <v>67</v>
      </c>
      <c r="D10" s="47">
        <v>344</v>
      </c>
      <c r="E10" s="48">
        <v>19264.51</v>
      </c>
      <c r="F10" s="48">
        <v>104246.01</v>
      </c>
    </row>
    <row r="11" spans="1:7" ht="19" customHeight="1">
      <c r="B11" s="21" t="s">
        <v>26</v>
      </c>
      <c r="C11" s="45">
        <v>0</v>
      </c>
      <c r="D11" s="45">
        <v>181</v>
      </c>
      <c r="E11" s="46">
        <v>0</v>
      </c>
      <c r="F11" s="46">
        <v>55022.19</v>
      </c>
    </row>
    <row r="12" spans="1:7" ht="19" customHeight="1">
      <c r="B12" s="24" t="s">
        <v>153</v>
      </c>
      <c r="C12" s="47">
        <v>0</v>
      </c>
      <c r="D12" s="47">
        <v>109</v>
      </c>
      <c r="E12" s="48">
        <v>0</v>
      </c>
      <c r="F12" s="48">
        <v>33033.06</v>
      </c>
    </row>
    <row r="13" spans="1:7" ht="19" customHeight="1">
      <c r="B13" s="21" t="s">
        <v>127</v>
      </c>
      <c r="C13" s="45">
        <v>45</v>
      </c>
      <c r="D13" s="45">
        <v>0</v>
      </c>
      <c r="E13" s="46">
        <v>13632.3</v>
      </c>
      <c r="F13" s="46">
        <v>0</v>
      </c>
    </row>
    <row r="14" spans="1:7" ht="19" customHeight="1">
      <c r="B14" s="24" t="s">
        <v>148</v>
      </c>
      <c r="C14" s="47">
        <v>0</v>
      </c>
      <c r="D14" s="47">
        <v>5</v>
      </c>
      <c r="E14" s="48">
        <v>0</v>
      </c>
      <c r="F14" s="48">
        <v>1519.95</v>
      </c>
    </row>
    <row r="15" spans="1:7" ht="19" customHeight="1">
      <c r="B15" s="21" t="s">
        <v>147</v>
      </c>
      <c r="C15" s="45">
        <v>1</v>
      </c>
      <c r="D15" s="45">
        <v>0</v>
      </c>
      <c r="E15" s="46">
        <v>303.99</v>
      </c>
      <c r="F15" s="46">
        <v>0</v>
      </c>
    </row>
    <row r="16" spans="1:7" ht="22" customHeight="1">
      <c r="B16" s="27" t="s">
        <v>23</v>
      </c>
      <c r="C16" s="49">
        <f>SUM(C9:C15)</f>
        <v>113</v>
      </c>
      <c r="D16" s="49">
        <f>SUM(D9:D15)</f>
        <v>1169</v>
      </c>
      <c r="E16" s="50">
        <f>SUM(E9:E15)</f>
        <v>33200.8</v>
      </c>
      <c r="F16" s="50">
        <f>SUM(F9:F15)</f>
        <v>354379.41000000003</v>
      </c>
    </row>
    <row r="33" spans="2:6" ht="27" customHeight="1">
      <c r="B33" s="6" t="s">
        <v>296</v>
      </c>
      <c r="C33" s="7"/>
      <c r="D33" s="7"/>
      <c r="E33" s="7"/>
      <c r="F33" s="8" t="s">
        <v>297</v>
      </c>
    </row>
    <row r="34" spans="2:6" ht="30" customHeight="1">
      <c r="B34" s="51" t="s">
        <v>298</v>
      </c>
      <c r="C34" s="51"/>
      <c r="D34" s="52">
        <v>145523</v>
      </c>
      <c r="E34" s="53"/>
      <c r="F34" s="53"/>
    </row>
    <row r="35" spans="2:6" ht="30" customHeight="1">
      <c r="B35" s="51" t="s">
        <v>299</v>
      </c>
      <c r="C35" s="51"/>
      <c r="D35" s="52">
        <v>44098</v>
      </c>
      <c r="E35" s="53"/>
      <c r="F35" s="53"/>
    </row>
    <row r="36" spans="2:6" ht="30" customHeight="1">
      <c r="B36" s="51" t="s">
        <v>300</v>
      </c>
      <c r="C36" s="51"/>
      <c r="D36" s="54">
        <v>13405351.02</v>
      </c>
      <c r="E36" s="53"/>
      <c r="F36" s="53"/>
    </row>
  </sheetData>
  <mergeCells count="6">
    <mergeCell ref="B34:C34"/>
    <mergeCell ref="D34:F34"/>
    <mergeCell ref="B35:C35"/>
    <mergeCell ref="D35:F35"/>
    <mergeCell ref="B36:C36"/>
    <mergeCell ref="D36:F36"/>
  </mergeCells>
  <printOptions horizontalCentered="1"/>
  <pageMargins left="0.35" right="0.35" top="0.6" bottom="0.55" header="0.3" footer="0.3"/>
  <pageSetup paperSize="9" orientation="portrait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12F8D"/>
    <pageSetUpPr fitToPage="1"/>
  </sheetPr>
  <dimension ref="A1:I29"/>
  <sheetViews>
    <sheetView showGridLines="0" workbookViewId="0"/>
  </sheetViews>
  <sheetFormatPr defaultRowHeight="15"/>
  <cols>
    <col min="1" max="1" width="3.140625" customWidth="1"/>
    <col min="2" max="2" width="26.7109375" customWidth="1"/>
    <col min="3" max="3" width="50.7109375" customWidth="1"/>
    <col min="4" max="4" width="11.7109375" customWidth="1"/>
    <col min="5" max="7" width="20.7109375" customWidth="1"/>
    <col min="8" max="8" width="22.7109375" customWidth="1"/>
    <col min="9" max="9" width="3.140625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40" customHeight="1">
      <c r="A2" s="1"/>
      <c r="B2" s="2" t="s">
        <v>301</v>
      </c>
      <c r="C2" s="1"/>
      <c r="D2" s="1"/>
      <c r="E2" s="1"/>
      <c r="F2" s="1"/>
      <c r="G2" s="1"/>
      <c r="H2" s="1"/>
      <c r="I2" s="1"/>
    </row>
    <row r="3" spans="1:9" ht="22" customHeight="1">
      <c r="A3" s="1"/>
      <c r="B3" s="3" t="s">
        <v>1</v>
      </c>
      <c r="C3" s="1"/>
      <c r="D3" s="1"/>
      <c r="E3" s="1"/>
      <c r="F3" s="1"/>
      <c r="G3" s="1"/>
      <c r="H3" s="1"/>
      <c r="I3" s="1"/>
    </row>
    <row r="4" spans="1:9" ht="20" customHeight="1">
      <c r="A4" s="1"/>
      <c r="B4" s="4" t="s">
        <v>2</v>
      </c>
      <c r="C4" s="1"/>
      <c r="D4" s="1"/>
      <c r="E4" s="1"/>
      <c r="F4" s="1"/>
      <c r="G4" s="1"/>
      <c r="H4" s="1"/>
      <c r="I4" s="1"/>
    </row>
    <row r="5" spans="1:9" ht="5" customHeight="1">
      <c r="A5" s="5"/>
      <c r="B5" s="5"/>
      <c r="C5" s="5"/>
      <c r="D5" s="5"/>
      <c r="E5" s="5"/>
      <c r="F5" s="5"/>
      <c r="G5" s="5"/>
      <c r="H5" s="5"/>
      <c r="I5" s="5"/>
    </row>
    <row r="7" spans="1:9" ht="27" customHeight="1">
      <c r="B7" s="6" t="s">
        <v>302</v>
      </c>
      <c r="C7" s="7"/>
      <c r="D7" s="7"/>
      <c r="E7" s="7"/>
      <c r="F7" s="7"/>
      <c r="G7" s="7"/>
      <c r="H7" s="8" t="s">
        <v>303</v>
      </c>
    </row>
    <row r="8" spans="1:9" ht="36" customHeight="1">
      <c r="B8" s="19" t="s">
        <v>25</v>
      </c>
      <c r="C8" s="32" t="s">
        <v>304</v>
      </c>
      <c r="D8" s="20" t="s">
        <v>142</v>
      </c>
      <c r="E8" s="20" t="s">
        <v>305</v>
      </c>
      <c r="F8" s="20" t="s">
        <v>294</v>
      </c>
      <c r="G8" s="20" t="s">
        <v>293</v>
      </c>
      <c r="H8" s="20" t="s">
        <v>295</v>
      </c>
    </row>
    <row r="9" spans="1:9" ht="21" customHeight="1">
      <c r="B9" s="21" t="s">
        <v>147</v>
      </c>
      <c r="C9" s="33" t="s">
        <v>306</v>
      </c>
      <c r="D9" s="45">
        <v>527</v>
      </c>
      <c r="E9" s="45">
        <v>1</v>
      </c>
      <c r="F9" s="46">
        <v>303.99</v>
      </c>
      <c r="G9" s="45">
        <v>0</v>
      </c>
      <c r="H9" s="46">
        <v>0</v>
      </c>
    </row>
    <row r="10" spans="1:9" ht="21" customHeight="1">
      <c r="B10" s="24" t="s">
        <v>150</v>
      </c>
      <c r="C10" s="34" t="s">
        <v>226</v>
      </c>
      <c r="D10" s="47">
        <v>141</v>
      </c>
      <c r="E10" s="47">
        <v>0</v>
      </c>
      <c r="F10" s="48">
        <v>0</v>
      </c>
      <c r="G10" s="47">
        <v>0</v>
      </c>
      <c r="H10" s="48">
        <v>0</v>
      </c>
    </row>
    <row r="11" spans="1:9" ht="21" customHeight="1">
      <c r="B11" s="21" t="s">
        <v>146</v>
      </c>
      <c r="C11" s="33" t="s">
        <v>307</v>
      </c>
      <c r="D11" s="45">
        <v>780</v>
      </c>
      <c r="E11" s="45">
        <v>0</v>
      </c>
      <c r="F11" s="46">
        <v>0</v>
      </c>
      <c r="G11" s="45">
        <v>0</v>
      </c>
      <c r="H11" s="46">
        <v>0</v>
      </c>
    </row>
    <row r="12" spans="1:9" ht="21" customHeight="1">
      <c r="B12" s="24" t="s">
        <v>159</v>
      </c>
      <c r="C12" s="34" t="s">
        <v>204</v>
      </c>
      <c r="D12" s="47">
        <v>7</v>
      </c>
      <c r="E12" s="47">
        <v>0</v>
      </c>
      <c r="F12" s="48">
        <v>0</v>
      </c>
      <c r="G12" s="47">
        <v>0</v>
      </c>
      <c r="H12" s="48">
        <v>0</v>
      </c>
    </row>
    <row r="13" spans="1:9" ht="21" customHeight="1">
      <c r="B13" s="21" t="s">
        <v>149</v>
      </c>
      <c r="C13" s="33" t="s">
        <v>172</v>
      </c>
      <c r="D13" s="45">
        <v>250</v>
      </c>
      <c r="E13" s="45">
        <v>0</v>
      </c>
      <c r="F13" s="46">
        <v>0</v>
      </c>
      <c r="G13" s="45">
        <v>0</v>
      </c>
      <c r="H13" s="46">
        <v>0</v>
      </c>
    </row>
    <row r="14" spans="1:9" ht="21" customHeight="1">
      <c r="B14" s="24" t="s">
        <v>26</v>
      </c>
      <c r="C14" s="34" t="s">
        <v>308</v>
      </c>
      <c r="D14" s="47">
        <v>66</v>
      </c>
      <c r="E14" s="47">
        <v>0</v>
      </c>
      <c r="F14" s="48">
        <v>0</v>
      </c>
      <c r="G14" s="47">
        <v>181</v>
      </c>
      <c r="H14" s="48">
        <v>55022.19</v>
      </c>
    </row>
    <row r="15" spans="1:9" ht="21" customHeight="1">
      <c r="B15" s="21" t="s">
        <v>145</v>
      </c>
      <c r="C15" s="33" t="s">
        <v>309</v>
      </c>
      <c r="D15" s="45">
        <v>3820</v>
      </c>
      <c r="E15" s="45">
        <v>0</v>
      </c>
      <c r="F15" s="46">
        <v>0</v>
      </c>
      <c r="G15" s="45">
        <v>530</v>
      </c>
      <c r="H15" s="46">
        <v>160558.2</v>
      </c>
    </row>
    <row r="16" spans="1:9" ht="21" customHeight="1">
      <c r="B16" s="24" t="s">
        <v>27</v>
      </c>
      <c r="C16" s="34" t="s">
        <v>310</v>
      </c>
      <c r="D16" s="47">
        <v>6850</v>
      </c>
      <c r="E16" s="47">
        <v>67</v>
      </c>
      <c r="F16" s="48">
        <v>19264.51</v>
      </c>
      <c r="G16" s="47">
        <v>344</v>
      </c>
      <c r="H16" s="48">
        <v>104246.01</v>
      </c>
    </row>
    <row r="17" spans="2:8" ht="21" customHeight="1">
      <c r="B17" s="21" t="s">
        <v>148</v>
      </c>
      <c r="C17" s="33" t="s">
        <v>217</v>
      </c>
      <c r="D17" s="45">
        <v>498</v>
      </c>
      <c r="E17" s="45">
        <v>0</v>
      </c>
      <c r="F17" s="46">
        <v>0</v>
      </c>
      <c r="G17" s="45">
        <v>5</v>
      </c>
      <c r="H17" s="46">
        <v>1519.95</v>
      </c>
    </row>
    <row r="18" spans="2:8" ht="21" customHeight="1">
      <c r="B18" s="24" t="s">
        <v>151</v>
      </c>
      <c r="C18" s="34" t="s">
        <v>311</v>
      </c>
      <c r="D18" s="47">
        <v>79</v>
      </c>
      <c r="E18" s="47">
        <v>0</v>
      </c>
      <c r="F18" s="48">
        <v>0</v>
      </c>
      <c r="G18" s="47">
        <v>0</v>
      </c>
      <c r="H18" s="48">
        <v>0</v>
      </c>
    </row>
    <row r="19" spans="2:8" ht="21" customHeight="1">
      <c r="B19" s="21" t="s">
        <v>153</v>
      </c>
      <c r="C19" s="33" t="s">
        <v>240</v>
      </c>
      <c r="D19" s="45">
        <v>64</v>
      </c>
      <c r="E19" s="45">
        <v>0</v>
      </c>
      <c r="F19" s="46">
        <v>0</v>
      </c>
      <c r="G19" s="45">
        <v>109</v>
      </c>
      <c r="H19" s="46">
        <v>33033.06</v>
      </c>
    </row>
    <row r="20" spans="2:8" ht="21" customHeight="1">
      <c r="B20" s="24" t="s">
        <v>127</v>
      </c>
      <c r="C20" s="34" t="s">
        <v>312</v>
      </c>
      <c r="D20" s="47">
        <v>75</v>
      </c>
      <c r="E20" s="47">
        <v>45</v>
      </c>
      <c r="F20" s="48">
        <v>13632.3</v>
      </c>
      <c r="G20" s="47">
        <v>0</v>
      </c>
      <c r="H20" s="48">
        <v>0</v>
      </c>
    </row>
    <row r="21" spans="2:8" ht="21" customHeight="1">
      <c r="B21" s="21" t="s">
        <v>154</v>
      </c>
      <c r="C21" s="33" t="s">
        <v>313</v>
      </c>
      <c r="D21" s="45">
        <v>60</v>
      </c>
      <c r="E21" s="45">
        <v>0</v>
      </c>
      <c r="F21" s="46">
        <v>0</v>
      </c>
      <c r="G21" s="45">
        <v>0</v>
      </c>
      <c r="H21" s="46">
        <v>0</v>
      </c>
    </row>
    <row r="22" spans="2:8" ht="21" customHeight="1">
      <c r="B22" s="24" t="s">
        <v>160</v>
      </c>
      <c r="C22" s="34" t="s">
        <v>314</v>
      </c>
      <c r="D22" s="47">
        <v>7</v>
      </c>
      <c r="E22" s="47">
        <v>0</v>
      </c>
      <c r="F22" s="48">
        <v>0</v>
      </c>
      <c r="G22" s="47">
        <v>0</v>
      </c>
      <c r="H22" s="48">
        <v>0</v>
      </c>
    </row>
    <row r="23" spans="2:8" ht="35" customHeight="1">
      <c r="B23" s="21" t="s">
        <v>152</v>
      </c>
      <c r="C23" s="33" t="s">
        <v>315</v>
      </c>
      <c r="D23" s="45">
        <v>64</v>
      </c>
      <c r="E23" s="45">
        <v>0</v>
      </c>
      <c r="F23" s="46">
        <v>0</v>
      </c>
      <c r="G23" s="45">
        <v>0</v>
      </c>
      <c r="H23" s="46">
        <v>0</v>
      </c>
    </row>
    <row r="24" spans="2:8" ht="21" customHeight="1">
      <c r="B24" s="24" t="s">
        <v>28</v>
      </c>
      <c r="C24" s="34" t="s">
        <v>316</v>
      </c>
      <c r="D24" s="47">
        <v>13</v>
      </c>
      <c r="E24" s="47">
        <v>0</v>
      </c>
      <c r="F24" s="48">
        <v>0</v>
      </c>
      <c r="G24" s="47">
        <v>0</v>
      </c>
      <c r="H24" s="48">
        <v>0</v>
      </c>
    </row>
    <row r="25" spans="2:8" ht="21" customHeight="1">
      <c r="B25" s="21" t="s">
        <v>157</v>
      </c>
      <c r="C25" s="33" t="s">
        <v>263</v>
      </c>
      <c r="D25" s="45">
        <v>17</v>
      </c>
      <c r="E25" s="45">
        <v>0</v>
      </c>
      <c r="F25" s="46">
        <v>0</v>
      </c>
      <c r="G25" s="45">
        <v>0</v>
      </c>
      <c r="H25" s="46">
        <v>0</v>
      </c>
    </row>
    <row r="26" spans="2:8" ht="21" customHeight="1">
      <c r="B26" s="24" t="s">
        <v>155</v>
      </c>
      <c r="C26" s="34" t="s">
        <v>249</v>
      </c>
      <c r="D26" s="47">
        <v>44</v>
      </c>
      <c r="E26" s="47">
        <v>0</v>
      </c>
      <c r="F26" s="48">
        <v>0</v>
      </c>
      <c r="G26" s="47">
        <v>0</v>
      </c>
      <c r="H26" s="48">
        <v>0</v>
      </c>
    </row>
    <row r="27" spans="2:8" ht="21" customHeight="1">
      <c r="B27" s="21" t="s">
        <v>156</v>
      </c>
      <c r="C27" s="33" t="s">
        <v>169</v>
      </c>
      <c r="D27" s="45">
        <v>17</v>
      </c>
      <c r="E27" s="45">
        <v>0</v>
      </c>
      <c r="F27" s="46">
        <v>0</v>
      </c>
      <c r="G27" s="45">
        <v>0</v>
      </c>
      <c r="H27" s="46">
        <v>0</v>
      </c>
    </row>
    <row r="28" spans="2:8" ht="21" customHeight="1">
      <c r="B28" s="24" t="s">
        <v>158</v>
      </c>
      <c r="C28" s="34" t="s">
        <v>317</v>
      </c>
      <c r="D28" s="47">
        <v>11</v>
      </c>
      <c r="E28" s="47">
        <v>0</v>
      </c>
      <c r="F28" s="48">
        <v>0</v>
      </c>
      <c r="G28" s="47">
        <v>0</v>
      </c>
      <c r="H28" s="48">
        <v>0</v>
      </c>
    </row>
    <row r="29" spans="2:8" ht="22" customHeight="1">
      <c r="B29" s="27" t="s">
        <v>23</v>
      </c>
      <c r="C29" s="35"/>
      <c r="D29" s="49">
        <f>SUM(D9:D28)</f>
        <v>13390</v>
      </c>
      <c r="E29" s="49">
        <f>SUM(E9:E28)</f>
        <v>113</v>
      </c>
      <c r="F29" s="50">
        <f>SUM(F9:F28)</f>
        <v>33200.799999999996</v>
      </c>
      <c r="G29" s="49">
        <f>SUM(G9:G28)</f>
        <v>1169</v>
      </c>
      <c r="H29" s="50">
        <f>SUM(H9:H28)</f>
        <v>354379.41000000003</v>
      </c>
    </row>
  </sheetData>
  <autoFilter ref="B8:H28"/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A5765"/>
    <pageSetUpPr fitToPage="1"/>
  </sheetPr>
  <dimension ref="A1:D16"/>
  <sheetViews>
    <sheetView showGridLines="0" workbookViewId="0"/>
  </sheetViews>
  <sheetFormatPr defaultRowHeight="15"/>
  <cols>
    <col min="1" max="1" width="3.140625" customWidth="1"/>
    <col min="2" max="2" width="34.7109375" customWidth="1"/>
    <col min="3" max="3" width="112.7109375" customWidth="1"/>
    <col min="4" max="4" width="3.140625" customWidth="1"/>
  </cols>
  <sheetData>
    <row r="1" spans="1:4" ht="12" customHeight="1">
      <c r="A1" s="1"/>
      <c r="B1" s="1"/>
      <c r="C1" s="1"/>
      <c r="D1" s="1"/>
    </row>
    <row r="2" spans="1:4" ht="40" customHeight="1">
      <c r="A2" s="1"/>
      <c r="B2" s="2" t="s">
        <v>318</v>
      </c>
      <c r="C2" s="1"/>
      <c r="D2" s="1"/>
    </row>
    <row r="3" spans="1:4" ht="22" customHeight="1">
      <c r="A3" s="1"/>
      <c r="B3" s="3" t="s">
        <v>1</v>
      </c>
      <c r="C3" s="1"/>
      <c r="D3" s="1"/>
    </row>
    <row r="4" spans="1:4" ht="20" customHeight="1">
      <c r="A4" s="1"/>
      <c r="B4" s="4" t="s">
        <v>2</v>
      </c>
      <c r="C4" s="1"/>
      <c r="D4" s="1"/>
    </row>
    <row r="5" spans="1:4" ht="5" customHeight="1">
      <c r="A5" s="5"/>
      <c r="B5" s="5"/>
      <c r="C5" s="5"/>
      <c r="D5" s="5"/>
    </row>
    <row r="6" spans="1:4" ht="32" customHeight="1">
      <c r="B6" s="55" t="s">
        <v>319</v>
      </c>
      <c r="C6" s="56" t="s">
        <v>4</v>
      </c>
    </row>
    <row r="7" spans="1:4" ht="32" customHeight="1">
      <c r="B7" s="55" t="s">
        <v>320</v>
      </c>
      <c r="C7" s="56" t="s">
        <v>321</v>
      </c>
    </row>
    <row r="8" spans="1:4" ht="32" customHeight="1">
      <c r="B8" s="55" t="s">
        <v>322</v>
      </c>
      <c r="C8" s="56" t="s">
        <v>323</v>
      </c>
    </row>
    <row r="9" spans="1:4" ht="42" customHeight="1">
      <c r="B9" s="55" t="s">
        <v>324</v>
      </c>
      <c r="C9" s="56" t="s">
        <v>325</v>
      </c>
    </row>
    <row r="10" spans="1:4" ht="42" customHeight="1">
      <c r="B10" s="55" t="s">
        <v>326</v>
      </c>
      <c r="C10" s="56" t="s">
        <v>33</v>
      </c>
    </row>
    <row r="11" spans="1:4" ht="32" customHeight="1">
      <c r="B11" s="55" t="s">
        <v>327</v>
      </c>
      <c r="C11" s="56" t="s">
        <v>328</v>
      </c>
    </row>
    <row r="12" spans="1:4" ht="42" customHeight="1">
      <c r="B12" s="55" t="s">
        <v>329</v>
      </c>
      <c r="C12" s="56" t="s">
        <v>38</v>
      </c>
    </row>
    <row r="13" spans="1:4" ht="87" customHeight="1">
      <c r="B13" s="55" t="s">
        <v>330</v>
      </c>
      <c r="C13" s="56" t="s">
        <v>331</v>
      </c>
    </row>
    <row r="14" spans="1:4" ht="72" customHeight="1">
      <c r="B14" s="55" t="s">
        <v>142</v>
      </c>
      <c r="C14" s="56" t="s">
        <v>164</v>
      </c>
    </row>
    <row r="15" spans="1:4" ht="72" customHeight="1">
      <c r="B15" s="55" t="s">
        <v>289</v>
      </c>
      <c r="C15" s="56" t="s">
        <v>332</v>
      </c>
    </row>
    <row r="16" spans="1:4" ht="57" customHeight="1">
      <c r="B16" s="55" t="s">
        <v>333</v>
      </c>
      <c r="C16" s="56" t="s">
        <v>334</v>
      </c>
    </row>
  </sheetData>
  <printOptions horizontalCentered="1"/>
  <pageMargins left="0.35" right="0.35" top="0.6" bottom="0.55" header="0.3" footer="0.3"/>
  <pageSetup paperSize="9" fitToHeight="0" orientation="portrait"/>
  <headerFooter>
    <oddHeader>&amp;L&amp;"Century Gothic,Bold"&amp;9&amp;K512F8DMinisterio de Trabajo y Desarrollo Humano&amp;R&amp;"Calibri,Regular"&amp;9&amp;K5A5765Del 14/09/2026 al 26/10/2026</oddHeader>
    <oddFooter>&amp;L&amp;"Calibri,Regular"&amp;8&amp;K5A5765InfoReport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Resumen</vt:lpstr>
      <vt:lpstr>Unidades suspendidas</vt:lpstr>
      <vt:lpstr>Alertas</vt:lpstr>
      <vt:lpstr>Evolución</vt:lpstr>
      <vt:lpstr>Kits</vt:lpstr>
      <vt:lpstr>Entregas Kobo</vt:lpstr>
      <vt:lpstr>Bono</vt:lpstr>
      <vt:lpstr>Provincias</vt:lpstr>
      <vt:lpstr>Ficha técnica</vt:lpstr>
      <vt:lpstr>'Ficha técnica'!Print_Area</vt:lpstr>
      <vt:lpstr>Resumen!Print_Area</vt:lpstr>
    </vt:vector>
  </TitlesOfParts>
  <Manager>InfoReport</Manager>
  <Company>Ministerio de Trabajo y Desarrollo Humano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Riesgos · Respuesta del Ministerio</dc:title>
  <dc:subject>Riesgos · Del 14/09/2026 al 26/10/2026 · Nacional</dc:subject>
  <dc:creator>Ministerio de Trabajo y Desarrollo Humano</dc:creator>
  <cp:keywords>MTDH, InfoReport, indicadores</cp:keywords>
  <cp:lastModifiedBy>Ministerio de Trabajo y Desarrollo Humano</cp:lastModifiedBy>
  <dcterms:created xsi:type="dcterms:W3CDTF">2026-10-27T00:06:44Z</dcterms:created>
  <dcterms:modified xsi:type="dcterms:W3CDTF">2026-10-27T00:06:44Z</dcterms:modified>
  <cp:category>Indicadores estratégicos</cp:category>
</cp:coreProperties>
</file>