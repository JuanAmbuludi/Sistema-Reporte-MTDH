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25200" windowHeight="15600"/>
  </bookViews>
  <sheets>
    <sheet name="Resumen" sheetId="1" r:id="rId1"/>
    <sheet name="Evolución" sheetId="2" r:id="rId2"/>
    <sheet name="Alertas" sheetId="3" r:id="rId3"/>
    <sheet name="Provincias" sheetId="4" r:id="rId4"/>
    <sheet name="Kits y bono" sheetId="5" r:id="rId5"/>
    <sheet name="Unidades suspendidas" sheetId="6" r:id="rId6"/>
    <sheet name="Ficha técnica" sheetId="7" r:id="rId7"/>
  </sheets>
  <definedNames>
    <definedName name="_xlnm._FilterDatabase" localSheetId="2" hidden="1">Alertas!$B$7:$K$17</definedName>
    <definedName name="_xlnm._FilterDatabase" localSheetId="1" hidden="1">Evolución!$B$7:$D$50</definedName>
    <definedName name="_xlnm._FilterDatabase" localSheetId="5" hidden="1">'Unidades suspendidas'!$B$7:$H$106</definedName>
    <definedName name="_xlnm.Print_Area" localSheetId="6">'Ficha técnica'!$A$1:$D$18</definedName>
    <definedName name="_xlnm.Print_Area" localSheetId="0">Resumen!$A$1:$N$141</definedName>
  </definedNames>
  <calcPr calcId="124519" fullCalcOnLoad="1"/>
</workbook>
</file>

<file path=xl/sharedStrings.xml><?xml version="1.0" encoding="utf-8"?>
<sst xmlns="http://schemas.openxmlformats.org/spreadsheetml/2006/main" count="1167" uniqueCount="377">
  <si>
    <t>Riesgos · Respuesta del Ministerio</t>
  </si>
  <si>
    <t>Del 14/09/2026 al 26/10/2026 · Nacional · Todos los servicios</t>
  </si>
  <si>
    <t>Respuesta al 26/10/2026</t>
  </si>
  <si>
    <t>Cifras clave</t>
  </si>
  <si>
    <t>Del 14/09/2026 al 26/10/2026</t>
  </si>
  <si>
    <t>Alertas con código UA</t>
  </si>
  <si>
    <t>Registros distintos · desde 14/09/2026</t>
  </si>
  <si>
    <t>Kits entregados</t>
  </si>
  <si>
    <t>20 provincias priorizadas · corte 26/10, 22:26</t>
  </si>
  <si>
    <t>Núcleos familiares con bono gestionado</t>
  </si>
  <si>
    <t>Por inundaciones · gestión del bono</t>
  </si>
  <si>
    <t>Monto de bonos gestionados</t>
  </si>
  <si>
    <t>Corte del bono: 23/10/2026</t>
  </si>
  <si>
    <t>Unidades cerradas / suspendidas</t>
  </si>
  <si>
    <t>Atención suspendida · corte 26/10/2026, 16:00</t>
  </si>
  <si>
    <t>UA suspendidas por provincia</t>
  </si>
  <si>
    <t>Categoría</t>
  </si>
  <si>
    <t>Unidades</t>
  </si>
  <si>
    <t>El Oro</t>
  </si>
  <si>
    <t>Guayas</t>
  </si>
  <si>
    <t>Santa Elena</t>
  </si>
  <si>
    <t>UA suspendidas por servicio</t>
  </si>
  <si>
    <t>CNH</t>
  </si>
  <si>
    <t>CDI</t>
  </si>
  <si>
    <t>Alertas por provincia</t>
  </si>
  <si>
    <t>Alertas</t>
  </si>
  <si>
    <t>Manabí</t>
  </si>
  <si>
    <t>Alertas por servicio</t>
  </si>
  <si>
    <t>Desarrollo Infantil</t>
  </si>
  <si>
    <t>Creciendo con Nuestros Hijos (CNH)</t>
  </si>
  <si>
    <t>Kits en provincias priorizadas</t>
  </si>
  <si>
    <t>Aspectos destacados</t>
  </si>
  <si>
    <t>10 alertas con 10 códigos UA distintos: 8 Desarrollo Infantil; 2 Creciendo con Nuestros Hijos (CNH). 8 con afectación documentada y 2 por confirmar. Se excluyen los registros sin código UA.</t>
  </si>
  <si>
    <t>13390 kits en 20 provincias priorizadas; corte 26/10/2026.</t>
  </si>
  <si>
    <t>113 núcleos familiares con bono gestionado: USD 33.200,80.</t>
  </si>
  <si>
    <t>Evolución de las alertas</t>
  </si>
  <si>
    <t>Desde 14/09/2026</t>
  </si>
  <si>
    <t>Fecha</t>
  </si>
  <si>
    <t>Registradas en el día</t>
  </si>
  <si>
    <t>Acumuladas</t>
  </si>
  <si>
    <t>14/09/2026</t>
  </si>
  <si>
    <t>15/09/2026</t>
  </si>
  <si>
    <t>16/09/2026</t>
  </si>
  <si>
    <t>17/09/2026</t>
  </si>
  <si>
    <t>18/09/2026</t>
  </si>
  <si>
    <t>19/09/2026</t>
  </si>
  <si>
    <t>20/09/2026</t>
  </si>
  <si>
    <t>21/09/2026</t>
  </si>
  <si>
    <t>22/09/2026</t>
  </si>
  <si>
    <t>23/09/2026</t>
  </si>
  <si>
    <t>24/09/2026</t>
  </si>
  <si>
    <t>25/09/2026</t>
  </si>
  <si>
    <t>26/09/2026</t>
  </si>
  <si>
    <t>27/09/2026</t>
  </si>
  <si>
    <t>28/09/2026</t>
  </si>
  <si>
    <t>29/09/2026</t>
  </si>
  <si>
    <t>30/09/2026</t>
  </si>
  <si>
    <t>01/10/2026</t>
  </si>
  <si>
    <t>02/10/2026</t>
  </si>
  <si>
    <t>03/10/2026</t>
  </si>
  <si>
    <t>04/10/2026</t>
  </si>
  <si>
    <t>05/10/2026</t>
  </si>
  <si>
    <t>06/10/2026</t>
  </si>
  <si>
    <t>07/10/2026</t>
  </si>
  <si>
    <t>08/10/2026</t>
  </si>
  <si>
    <t>09/10/2026</t>
  </si>
  <si>
    <t>10/10/2026</t>
  </si>
  <si>
    <t>11/10/2026</t>
  </si>
  <si>
    <t>12/10/2026</t>
  </si>
  <si>
    <t>13/10/2026</t>
  </si>
  <si>
    <t>14/10/2026</t>
  </si>
  <si>
    <t>15/10/2026</t>
  </si>
  <si>
    <t>16/10/2026</t>
  </si>
  <si>
    <t>17/10/2026</t>
  </si>
  <si>
    <t>18/10/2026</t>
  </si>
  <si>
    <t>19/10/2026</t>
  </si>
  <si>
    <t>20/10/2026</t>
  </si>
  <si>
    <t>21/10/2026</t>
  </si>
  <si>
    <t>22/10/2026</t>
  </si>
  <si>
    <t>23/10/2026</t>
  </si>
  <si>
    <t>24/10/2026</t>
  </si>
  <si>
    <t>25/10/2026</t>
  </si>
  <si>
    <t>26/10/2026</t>
  </si>
  <si>
    <t>Detalle completo</t>
  </si>
  <si>
    <t>Alerta</t>
  </si>
  <si>
    <t>Fecha de registro</t>
  </si>
  <si>
    <t>Provincia</t>
  </si>
  <si>
    <t>Cantón</t>
  </si>
  <si>
    <t>Código UA</t>
  </si>
  <si>
    <t>Unidad</t>
  </si>
  <si>
    <t>Servicio</t>
  </si>
  <si>
    <t>Afectación</t>
  </si>
  <si>
    <t>Estado</t>
  </si>
  <si>
    <t>Prioridad</t>
  </si>
  <si>
    <t>ALT-2026-000325</t>
  </si>
  <si>
    <t>Milagro</t>
  </si>
  <si>
    <t>62210</t>
  </si>
  <si>
    <t>GOTITA DEL AMOR</t>
  </si>
  <si>
    <t>Ingreso de agua en la unidad; sin energía ni agua</t>
  </si>
  <si>
    <t>Pendiente</t>
  </si>
  <si>
    <t>Baja</t>
  </si>
  <si>
    <t>ALT-2026-000323</t>
  </si>
  <si>
    <t>14294</t>
  </si>
  <si>
    <t>MIS PEQUEÑOS ANGELITOS</t>
  </si>
  <si>
    <t>Ingreso de agua y goteras en la unidad</t>
  </si>
  <si>
    <t>ALT-2026-000322</t>
  </si>
  <si>
    <t>13916</t>
  </si>
  <si>
    <t>NIÑOS JUGUETONES</t>
  </si>
  <si>
    <t>Agua dentro y fuera de la unidad</t>
  </si>
  <si>
    <t>ALT-2026-000321</t>
  </si>
  <si>
    <t>62208</t>
  </si>
  <si>
    <t>PEQUEÑOS JILGUERITOS</t>
  </si>
  <si>
    <t>Acumulación de agua en la entrada de la unidad</t>
  </si>
  <si>
    <t>ALT-2026-000319</t>
  </si>
  <si>
    <t>El Guabo</t>
  </si>
  <si>
    <t>60221</t>
  </si>
  <si>
    <t>CENTRO DE DESARROLLO INFANTIL ESTRELLITA DE MAR</t>
  </si>
  <si>
    <t>Ingreso de agua; cambio temporal a modalidad virtual</t>
  </si>
  <si>
    <t>En seguimiento</t>
  </si>
  <si>
    <t>ALT-2026-000318</t>
  </si>
  <si>
    <t>60220</t>
  </si>
  <si>
    <t>CENTRO DE DESARROLLO INFANTIL SUPER NIÑO</t>
  </si>
  <si>
    <t>ALT-2026-000316</t>
  </si>
  <si>
    <t>Guayaquil</t>
  </si>
  <si>
    <t>58337</t>
  </si>
  <si>
    <t>CDI NIÑOS DE SAN RAFAEL</t>
  </si>
  <si>
    <t>Alerta por inundación en Tenguel vinculada a la UA; afectación al servicio por confirmar.</t>
  </si>
  <si>
    <t>ALT-2026-000315</t>
  </si>
  <si>
    <t>58336</t>
  </si>
  <si>
    <t>CDI LOS NIÑOS DEL CISNE</t>
  </si>
  <si>
    <t>ALT-2026-000310</t>
  </si>
  <si>
    <t>Flavio Alfaro</t>
  </si>
  <si>
    <t>56744</t>
  </si>
  <si>
    <t>CNH ESTRELLITAS DEL AMANECER</t>
  </si>
  <si>
    <t>Acceso impedido para atención presencial; contacto telefónico temporal</t>
  </si>
  <si>
    <t>ALT-2026-000309</t>
  </si>
  <si>
    <t>56204</t>
  </si>
  <si>
    <t>CORREO INFANTIL</t>
  </si>
  <si>
    <t>Acciones del Ministerio en cada provincia</t>
  </si>
  <si>
    <t>Kits y bono de contingencia</t>
  </si>
  <si>
    <t>Cantones</t>
  </si>
  <si>
    <t>Kits</t>
  </si>
  <si>
    <t>Bono gestionado (núcleos familiares)</t>
  </si>
  <si>
    <t>Monto gestionado (USD)</t>
  </si>
  <si>
    <t>En articulación (personas)</t>
  </si>
  <si>
    <t>Monto en articulación (USD)</t>
  </si>
  <si>
    <t>Azuay</t>
  </si>
  <si>
    <t>Camilo Ponce Enríquez, Cuenca, Oña</t>
  </si>
  <si>
    <t>Bolívar</t>
  </si>
  <si>
    <t>LAS NAVES</t>
  </si>
  <si>
    <t>Carchi</t>
  </si>
  <si>
    <t>Bolívar, Mira, Tulcán</t>
  </si>
  <si>
    <t>Chimborazo</t>
  </si>
  <si>
    <t>Riobamba</t>
  </si>
  <si>
    <t>Cotopaxi</t>
  </si>
  <si>
    <t>Latacunga</t>
  </si>
  <si>
    <t>El Guabo, Pasaje</t>
  </si>
  <si>
    <t>Esmeraldas</t>
  </si>
  <si>
    <t>Eloy Alfaro, Esmeraldas, Muisne, Quinindé</t>
  </si>
  <si>
    <t>Guayaquil, Milagro, Palestina, Salitre</t>
  </si>
  <si>
    <t>Imbabura</t>
  </si>
  <si>
    <t>Ibarra</t>
  </si>
  <si>
    <t>Loja</t>
  </si>
  <si>
    <t>ESPINDOLA, Loja, PINDAL, QUILANGA</t>
  </si>
  <si>
    <t>Los Ríos</t>
  </si>
  <si>
    <t>Babahoyo</t>
  </si>
  <si>
    <t>Flavio Alfaro, Pichincha, Portoviejo, SANTA ANA</t>
  </si>
  <si>
    <t>Napo</t>
  </si>
  <si>
    <t>Archidona, Tena</t>
  </si>
  <si>
    <t>Pastaza</t>
  </si>
  <si>
    <t>Mera, Pastaza</t>
  </si>
  <si>
    <t>Pichincha</t>
  </si>
  <si>
    <t>Distrito Metropolitano de Quito, Pedro Vicente Maldonado, Rumiñahui, San Miguel de los Bancos</t>
  </si>
  <si>
    <t>La Libertad, Salinas</t>
  </si>
  <si>
    <t>Santo Domingo de los Tsáchilas</t>
  </si>
  <si>
    <t>Santo Domingo</t>
  </si>
  <si>
    <t>Sucumbíos</t>
  </si>
  <si>
    <t>Shushufindi</t>
  </si>
  <si>
    <t>Tungurahua</t>
  </si>
  <si>
    <t>Ambato</t>
  </si>
  <si>
    <t>Zamora Chinchipe</t>
  </si>
  <si>
    <t>Centinela del Cóndor, El Pangui</t>
  </si>
  <si>
    <t>Total de la selección</t>
  </si>
  <si>
    <t>Kits y planificación del bono</t>
  </si>
  <si>
    <t>Kits entregados en provincias priorizadas</t>
  </si>
  <si>
    <t>Kits en provincias priorizadas: Kobo, corte 26/10/2026, 22:26:42. Entregas del 31/08 al 26/10; incluye fechas anteriores al inicio de las alertas. Reemplaza el corte anterior. Núcleos familiares reportados: suma por entrega, no núcleos únicos. El total de kits de este corte fue confirmado oficialmente.</t>
  </si>
  <si>
    <t>Período</t>
  </si>
  <si>
    <t>Núcleos familiares reportados</t>
  </si>
  <si>
    <t>ID Kobo</t>
  </si>
  <si>
    <t>31/08/2026</t>
  </si>
  <si>
    <t>Tulcán</t>
  </si>
  <si>
    <t>901551778</t>
  </si>
  <si>
    <t>901550651</t>
  </si>
  <si>
    <t>901552756</t>
  </si>
  <si>
    <t>03/09/2026</t>
  </si>
  <si>
    <t>901564587</t>
  </si>
  <si>
    <t>San Miguel de los Bancos</t>
  </si>
  <si>
    <t>901551065</t>
  </si>
  <si>
    <t>Pedro Vicente Maldonado</t>
  </si>
  <si>
    <t>901557320</t>
  </si>
  <si>
    <t>04/09/2026</t>
  </si>
  <si>
    <t>Rumiñahui</t>
  </si>
  <si>
    <t>901553792</t>
  </si>
  <si>
    <t>09/09/2026</t>
  </si>
  <si>
    <t>Distrito Metropolitano de Quito</t>
  </si>
  <si>
    <t>901555281</t>
  </si>
  <si>
    <t>901564540</t>
  </si>
  <si>
    <t>901565225</t>
  </si>
  <si>
    <t>901566792</t>
  </si>
  <si>
    <t>10/09/2026</t>
  </si>
  <si>
    <t>Salinas</t>
  </si>
  <si>
    <t>901556230</t>
  </si>
  <si>
    <t>901555574</t>
  </si>
  <si>
    <t>901557880</t>
  </si>
  <si>
    <t>901567356</t>
  </si>
  <si>
    <t>901562908</t>
  </si>
  <si>
    <t>901552833</t>
  </si>
  <si>
    <t>901560462</t>
  </si>
  <si>
    <t>Salitre</t>
  </si>
  <si>
    <t>901576248</t>
  </si>
  <si>
    <t>Mira</t>
  </si>
  <si>
    <t>901553593</t>
  </si>
  <si>
    <t>Muisne</t>
  </si>
  <si>
    <t>901542208</t>
  </si>
  <si>
    <t>901579821</t>
  </si>
  <si>
    <t>901573492</t>
  </si>
  <si>
    <t>901550793</t>
  </si>
  <si>
    <t>901572601</t>
  </si>
  <si>
    <t>Camilo Ponce Enríquez</t>
  </si>
  <si>
    <t>901592080</t>
  </si>
  <si>
    <t>901536493</t>
  </si>
  <si>
    <t>SANTA ANA</t>
  </si>
  <si>
    <t>901539658</t>
  </si>
  <si>
    <t>901552094</t>
  </si>
  <si>
    <t>Quinindé</t>
  </si>
  <si>
    <t>901545837</t>
  </si>
  <si>
    <t>901566395</t>
  </si>
  <si>
    <t>901554707</t>
  </si>
  <si>
    <t>901559100</t>
  </si>
  <si>
    <t>901561720</t>
  </si>
  <si>
    <t>901555267</t>
  </si>
  <si>
    <t>901549885</t>
  </si>
  <si>
    <t>901581205</t>
  </si>
  <si>
    <t>Eloy Alfaro</t>
  </si>
  <si>
    <t>901544659</t>
  </si>
  <si>
    <t>901567706</t>
  </si>
  <si>
    <t>901571302</t>
  </si>
  <si>
    <t>901540327</t>
  </si>
  <si>
    <t>901547586</t>
  </si>
  <si>
    <t>901557200</t>
  </si>
  <si>
    <t>901507614</t>
  </si>
  <si>
    <t>901543240</t>
  </si>
  <si>
    <t>901556593</t>
  </si>
  <si>
    <t>901554036</t>
  </si>
  <si>
    <t>901583657</t>
  </si>
  <si>
    <t>901555799</t>
  </si>
  <si>
    <t>Cuenca</t>
  </si>
  <si>
    <t>901587375</t>
  </si>
  <si>
    <t>ESPINDOLA</t>
  </si>
  <si>
    <t>901517296</t>
  </si>
  <si>
    <t>901585831</t>
  </si>
  <si>
    <t>Centinela del Cóndor</t>
  </si>
  <si>
    <t>901560279</t>
  </si>
  <si>
    <t>901546105</t>
  </si>
  <si>
    <t>Tena</t>
  </si>
  <si>
    <t>901583474</t>
  </si>
  <si>
    <t>901584975</t>
  </si>
  <si>
    <t>La Libertad</t>
  </si>
  <si>
    <t>901568692</t>
  </si>
  <si>
    <t>Oña</t>
  </si>
  <si>
    <t>901581829</t>
  </si>
  <si>
    <t>901583940</t>
  </si>
  <si>
    <t>901557017</t>
  </si>
  <si>
    <t>Mera</t>
  </si>
  <si>
    <t>901561745</t>
  </si>
  <si>
    <t>901562262</t>
  </si>
  <si>
    <t>PINDAL</t>
  </si>
  <si>
    <t>901513499</t>
  </si>
  <si>
    <t>Archidona</t>
  </si>
  <si>
    <t>901584802</t>
  </si>
  <si>
    <t>901578515</t>
  </si>
  <si>
    <t>901568941</t>
  </si>
  <si>
    <t>901568044</t>
  </si>
  <si>
    <t>901584335</t>
  </si>
  <si>
    <t>901577508</t>
  </si>
  <si>
    <t>El Pangui</t>
  </si>
  <si>
    <t>901560779</t>
  </si>
  <si>
    <t>901558414</t>
  </si>
  <si>
    <t>901556545</t>
  </si>
  <si>
    <t>901550693</t>
  </si>
  <si>
    <t>901580384</t>
  </si>
  <si>
    <t>901522010</t>
  </si>
  <si>
    <t>901558042</t>
  </si>
  <si>
    <t>Palestina</t>
  </si>
  <si>
    <t>901581046</t>
  </si>
  <si>
    <t>901559224</t>
  </si>
  <si>
    <t>Pasaje</t>
  </si>
  <si>
    <t>901505118</t>
  </si>
  <si>
    <t>Portoviejo</t>
  </si>
  <si>
    <t>901542091</t>
  </si>
  <si>
    <t>901542544</t>
  </si>
  <si>
    <t>QUILANGA</t>
  </si>
  <si>
    <t>901516522</t>
  </si>
  <si>
    <t>901528037</t>
  </si>
  <si>
    <t>901571868</t>
  </si>
  <si>
    <t>901588163</t>
  </si>
  <si>
    <t>901588943</t>
  </si>
  <si>
    <t>901589658</t>
  </si>
  <si>
    <t>901590720</t>
  </si>
  <si>
    <t>901553284</t>
  </si>
  <si>
    <t>Planificación El Niño 2026–2027</t>
  </si>
  <si>
    <t>Proyección nacional; planificación, no ejecución</t>
  </si>
  <si>
    <t>Personas potenciales</t>
  </si>
  <si>
    <t>Núcleos familiares potenciales</t>
  </si>
  <si>
    <t>Inversión estimada (USD)</t>
  </si>
  <si>
    <t>Detalle territorial de unidades</t>
  </si>
  <si>
    <t>99 suspendidas · base 26/10/2026, 16:00 + confirmación operativa de Guayas</t>
  </si>
  <si>
    <t>Base territorial del 26/10/2026, 16:00, actualizada con la confirmación operativa posterior de Guayas: 99 UA suspendidas (35 CDI y 64 CNH). Las 17 CDI de Guayas se incluyen como suspendidas por confirmación recibida; su estado original se conserva para trazabilidad. Los 63 CNH de El Oro no tienen nombre ni cantón en la base. No constan códigos UA ni se suma este registro a las 10 alertas.</t>
  </si>
  <si>
    <t>Estado de atención</t>
  </si>
  <si>
    <t>Manantial del Saber</t>
  </si>
  <si>
    <t>Suspendida</t>
  </si>
  <si>
    <t>Virgen de las Mercedes #218</t>
  </si>
  <si>
    <t>Rivera de los Vergeles</t>
  </si>
  <si>
    <t>María de la Paz</t>
  </si>
  <si>
    <t>Ángel de Luz</t>
  </si>
  <si>
    <t>Camino al Buen Vivir</t>
  </si>
  <si>
    <t>Jardín de los Sueños</t>
  </si>
  <si>
    <t>Mundo Infantil</t>
  </si>
  <si>
    <t>Nuestros Niños en Dios</t>
  </si>
  <si>
    <t>Los Niños del Mañana</t>
  </si>
  <si>
    <t>Sueños Infantiles</t>
  </si>
  <si>
    <t>María Teresa</t>
  </si>
  <si>
    <t>9 de Enero</t>
  </si>
  <si>
    <t>Cosechando Sueños</t>
  </si>
  <si>
    <t>Angelitos Dei</t>
  </si>
  <si>
    <t>Amiguitos del Futuro</t>
  </si>
  <si>
    <t>Niños San Rafael</t>
  </si>
  <si>
    <t>Pasitos con Amor</t>
  </si>
  <si>
    <t>Buen Vivir de los Niños y Niñas</t>
  </si>
  <si>
    <t>Aprender Jugando</t>
  </si>
  <si>
    <t>Raquel Aguilar</t>
  </si>
  <si>
    <t>Tío Boanerges</t>
  </si>
  <si>
    <t>Gotitas de Amor</t>
  </si>
  <si>
    <t>Dina Verdi</t>
  </si>
  <si>
    <t>Súper Niño</t>
  </si>
  <si>
    <t>Estrellita de Mar</t>
  </si>
  <si>
    <t>Niños al Futuro</t>
  </si>
  <si>
    <t>Milagritos de Dios</t>
  </si>
  <si>
    <t>Caritas Alegres</t>
  </si>
  <si>
    <t>Sin cantón en la base</t>
  </si>
  <si>
    <t>Sin nombre</t>
  </si>
  <si>
    <t>Suspendida presencial</t>
  </si>
  <si>
    <t>Semillitas del Mañana</t>
  </si>
  <si>
    <t>Mis Primeras Enseñanzas</t>
  </si>
  <si>
    <t>Mickey Mouse</t>
  </si>
  <si>
    <t>Los Piqueritos</t>
  </si>
  <si>
    <t>Tía Peluca</t>
  </si>
  <si>
    <t>Mis Pequeños Angelitos</t>
  </si>
  <si>
    <t>Nota metodológica y fuentes</t>
  </si>
  <si>
    <t>Seguimiento</t>
  </si>
  <si>
    <t>Territorio</t>
  </si>
  <si>
    <t>Nacional</t>
  </si>
  <si>
    <t>Servicios</t>
  </si>
  <si>
    <t>Todos los servicios</t>
  </si>
  <si>
    <t>Fuentes</t>
  </si>
  <si>
    <t>Subsecretaría Territorial (análisis de alertas); corte Kobo de kits; ayuda memoria del bono de contingencia; base territorial de afectaciones por lluvias.</t>
  </si>
  <si>
    <t>Conteo</t>
  </si>
  <si>
    <t>Geoportal</t>
  </si>
  <si>
    <t>https://geoportal.trabajo.gob.ec/ua_amenazas</t>
  </si>
  <si>
    <t>Continuidad de atención</t>
  </si>
  <si>
    <t>Se muestran únicamente alertas revisadas con código UA registrado, desde el 14 de septiembre de 2026. El conteo corresponde a códigos de alerta distintos vinculados a unidades identificadas. Los registros sin código quedan fuera de este alcance. La fecha corresponde al registro y una alerta no equivale necesariamente a un evento único. El campo Afectados mezcla personas, familias y usuarios; no se suma como personas únicas. La base no certifica atribución causal a ENOS.</t>
  </si>
  <si>
    <t>Revisión de alertas</t>
  </si>
  <si>
    <t>En el corte nacional hay 10 alertas con 10 códigos UA distintos: 8 con afectación documentada y 2 por confirmar. ALT-2026-000315 y ALT-2026-000316 (Tenguel) tienen código UA, pero el relato solo describe inundación territorial; no se presentan como daños confirmados al servicio.</t>
  </si>
  <si>
    <t>Bono de contingencia</t>
  </si>
  <si>
    <t>La ayuda memoria no identifica pagos exclusivamente atribuibles a ENOS ni fechas individuales para recortar desde el 14/09. Se muestran únicamente las filas de inundación como referencia: pagos gestionados desde el 29/08 y casos en articulación al 23/10. Articulación no equivale a pago. Las proyecciones corresponden a planificación nacional 2026–2027.</t>
  </si>
  <si>
    <t>Filtros</t>
  </si>
  <si>
    <t>El territorio se aplica a todas las acciones; el servicio, a las alertas y al seguimiento de continuidad de atención. Kits y bono no se asocian a un servicio. La planificación del bono es nacional.</t>
  </si>
</sst>
</file>

<file path=xl/styles.xml><?xml version="1.0" encoding="utf-8"?>
<styleSheet xmlns="http://schemas.openxmlformats.org/spreadsheetml/2006/main">
  <numFmts count="3">
    <numFmt numFmtId="164" formatCode="#,##0"/>
    <numFmt numFmtId="165" formatCode="&quot;USD &quot;#,##0.00"/>
    <numFmt numFmtId="166" formatCode="#,##0.00"/>
  </numFmts>
  <fonts count="16">
    <font>
      <sz val="11"/>
      <color theme="1"/>
      <name val="Calibri"/>
      <family val="2"/>
      <scheme val="minor"/>
    </font>
    <font>
      <sz val="10.5"/>
      <color rgb="FF20202B"/>
      <name val="Calibri"/>
      <family val="2"/>
      <scheme val="minor"/>
    </font>
    <font>
      <b/>
      <sz val="20"/>
      <color rgb="FFFFFFFF"/>
      <name val="Century Gothic"/>
      <family val="2"/>
    </font>
    <font>
      <sz val="10"/>
      <color rgb="FFE4DBF3"/>
      <name val="Calibri"/>
      <family val="2"/>
      <scheme val="minor"/>
    </font>
    <font>
      <sz val="9"/>
      <color rgb="FFFFE7A3"/>
      <name val="Calibri"/>
      <family val="2"/>
      <scheme val="minor"/>
    </font>
    <font>
      <b/>
      <sz val="13"/>
      <color rgb="FF2B164F"/>
      <name val="Century Gothic"/>
      <family val="2"/>
    </font>
    <font>
      <i/>
      <sz val="9"/>
      <color rgb="FF6E6880"/>
      <name val="Calibri"/>
      <family val="2"/>
      <scheme val="minor"/>
    </font>
    <font>
      <b/>
      <sz val="9.5"/>
      <color rgb="FF5A5765"/>
      <name val="Calibri"/>
      <family val="2"/>
      <scheme val="minor"/>
    </font>
    <font>
      <b/>
      <sz val="22"/>
      <color rgb="FF2B164F"/>
      <name val="Century Gothic"/>
      <family val="2"/>
    </font>
    <font>
      <sz val="9"/>
      <color rgb="FF6E6880"/>
      <name val="Calibri"/>
      <family val="2"/>
      <scheme val="minor"/>
    </font>
    <font>
      <b/>
      <sz val="9"/>
      <color rgb="FFFFFFFF"/>
      <name val="Century Gothic"/>
      <family val="2"/>
    </font>
    <font>
      <b/>
      <sz val="10.5"/>
      <color rgb="FF2B164F"/>
      <name val="Calibri"/>
      <family val="2"/>
      <scheme val="minor"/>
    </font>
    <font>
      <sz val="10.5"/>
      <color rgb="FF20202B"/>
      <name val="Calibri"/>
      <family val="2"/>
      <scheme val="minor"/>
    </font>
    <font>
      <b/>
      <sz val="10.5"/>
      <color rgb="FF20202B"/>
      <name val="Calibri"/>
      <family val="2"/>
      <scheme val="minor"/>
    </font>
    <font>
      <b/>
      <sz val="10.5"/>
      <color rgb="FF512F8D"/>
      <name val="Calibri"/>
      <family val="2"/>
      <scheme val="minor"/>
    </font>
    <font>
      <sz val="10"/>
      <color rgb="FF20202B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512F8D"/>
        <bgColor indexed="64"/>
      </patternFill>
    </fill>
    <fill>
      <patternFill patternType="solid">
        <fgColor rgb="FFF8C018"/>
        <bgColor indexed="64"/>
      </patternFill>
    </fill>
    <fill>
      <patternFill patternType="solid">
        <fgColor rgb="FFF7F5F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1EDFA"/>
        <bgColor indexed="64"/>
      </patternFill>
    </fill>
    <fill>
      <patternFill patternType="solid">
        <fgColor rgb="FFEBE5F3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medium">
        <color rgb="FFC1B4EC"/>
      </bottom>
      <diagonal/>
    </border>
    <border>
      <left/>
      <right/>
      <top style="thick">
        <color rgb="FF512F8D"/>
      </top>
      <bottom/>
      <diagonal/>
    </border>
    <border>
      <left/>
      <right/>
      <top style="thick">
        <color rgb="FF7657B9"/>
      </top>
      <bottom/>
      <diagonal/>
    </border>
    <border>
      <left/>
      <right/>
      <top style="thick">
        <color rgb="FFF8C018"/>
      </top>
      <bottom/>
      <diagonal/>
    </border>
    <border>
      <left/>
      <right/>
      <top style="thick">
        <color rgb="FFC33F8D"/>
      </top>
      <bottom/>
      <diagonal/>
    </border>
    <border>
      <left style="thin">
        <color rgb="FF7458AE"/>
      </left>
      <right/>
      <top/>
      <bottom/>
      <diagonal/>
    </border>
    <border>
      <left/>
      <right/>
      <top/>
      <bottom style="hair">
        <color rgb="FFE7E2EF"/>
      </bottom>
      <diagonal/>
    </border>
    <border>
      <left/>
      <right/>
      <top style="medium">
        <color rgb="FF512F8D"/>
      </top>
      <bottom/>
      <diagonal/>
    </border>
    <border>
      <left/>
      <right/>
      <top style="medium">
        <color rgb="FF512F8D"/>
      </top>
      <bottom style="hair">
        <color rgb="FFE7E2EF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4" fillId="2" borderId="0" xfId="0" applyFont="1" applyFill="1" applyAlignment="1">
      <alignment vertical="top"/>
    </xf>
    <xf numFmtId="0" fontId="1" fillId="3" borderId="0" xfId="0" applyFont="1" applyFill="1" applyAlignment="1">
      <alignment vertical="center"/>
    </xf>
    <xf numFmtId="0" fontId="5" fillId="0" borderId="1" xfId="0" applyFont="1" applyBorder="1" applyAlignment="1">
      <alignment vertical="center"/>
    </xf>
    <xf numFmtId="0" fontId="1" fillId="0" borderId="1" xfId="0" applyFont="1" applyBorder="1" applyAlignment="1">
      <alignment vertical="center"/>
    </xf>
    <xf numFmtId="0" fontId="6" fillId="0" borderId="1" xfId="0" applyFont="1" applyBorder="1" applyAlignment="1">
      <alignment horizontal="right" vertical="center"/>
    </xf>
    <xf numFmtId="0" fontId="7" fillId="4" borderId="2" xfId="0" applyFont="1" applyFill="1" applyBorder="1" applyAlignment="1">
      <alignment horizontal="left" vertical="center" indent="1" wrapText="1"/>
    </xf>
    <xf numFmtId="0" fontId="7" fillId="4" borderId="3" xfId="0" applyFont="1" applyFill="1" applyBorder="1" applyAlignment="1">
      <alignment horizontal="left" vertical="center" indent="1" wrapText="1"/>
    </xf>
    <xf numFmtId="0" fontId="7" fillId="4" borderId="4" xfId="0" applyFont="1" applyFill="1" applyBorder="1" applyAlignment="1">
      <alignment horizontal="left" vertical="center" indent="1" wrapText="1"/>
    </xf>
    <xf numFmtId="0" fontId="7" fillId="4" borderId="5" xfId="0" applyFont="1" applyFill="1" applyBorder="1" applyAlignment="1">
      <alignment horizontal="left" vertical="center" indent="1" wrapText="1"/>
    </xf>
    <xf numFmtId="164" fontId="8" fillId="4" borderId="0" xfId="0" applyNumberFormat="1" applyFont="1" applyFill="1" applyAlignment="1">
      <alignment horizontal="left" vertical="center" indent="1" shrinkToFit="1"/>
    </xf>
    <xf numFmtId="0" fontId="1" fillId="4" borderId="0" xfId="0" applyFont="1" applyFill="1" applyAlignment="1">
      <alignment vertical="center"/>
    </xf>
    <xf numFmtId="165" fontId="8" fillId="4" borderId="0" xfId="0" applyNumberFormat="1" applyFont="1" applyFill="1" applyAlignment="1">
      <alignment horizontal="left" vertical="center" indent="1" shrinkToFit="1"/>
    </xf>
    <xf numFmtId="0" fontId="9" fillId="4" borderId="0" xfId="0" applyFont="1" applyFill="1" applyAlignment="1">
      <alignment vertical="top" indent="1" wrapText="1"/>
    </xf>
    <xf numFmtId="0" fontId="10" fillId="2" borderId="0" xfId="0" applyFont="1" applyFill="1" applyAlignment="1">
      <alignment horizontal="left" vertical="center" indent="1" wrapText="1"/>
    </xf>
    <xf numFmtId="0" fontId="10" fillId="2" borderId="6" xfId="0" applyFont="1" applyFill="1" applyBorder="1" applyAlignment="1">
      <alignment horizontal="right" vertical="center" wrapText="1"/>
    </xf>
    <xf numFmtId="0" fontId="11" fillId="5" borderId="7" xfId="0" applyFont="1" applyFill="1" applyBorder="1" applyAlignment="1">
      <alignment horizontal="left" vertical="center" indent="1" wrapText="1"/>
    </xf>
    <xf numFmtId="164" fontId="12" fillId="5" borderId="7" xfId="0" applyNumberFormat="1" applyFont="1" applyFill="1" applyBorder="1" applyAlignment="1">
      <alignment horizontal="right" vertical="center"/>
    </xf>
    <xf numFmtId="0" fontId="11" fillId="4" borderId="7" xfId="0" applyFont="1" applyFill="1" applyBorder="1" applyAlignment="1">
      <alignment horizontal="left" vertical="center" indent="1" wrapText="1"/>
    </xf>
    <xf numFmtId="164" fontId="12" fillId="4" borderId="7" xfId="0" applyNumberFormat="1" applyFont="1" applyFill="1" applyBorder="1" applyAlignment="1">
      <alignment horizontal="right" vertical="center"/>
    </xf>
    <xf numFmtId="0" fontId="1" fillId="6" borderId="0" xfId="0" applyFont="1" applyFill="1" applyAlignment="1">
      <alignment vertical="center"/>
    </xf>
    <xf numFmtId="0" fontId="1" fillId="6" borderId="0" xfId="0" applyFont="1" applyFill="1" applyAlignment="1">
      <alignment horizontal="left" vertical="center" indent="1" wrapText="1"/>
    </xf>
    <xf numFmtId="0" fontId="10" fillId="2" borderId="6" xfId="0" applyFont="1" applyFill="1" applyBorder="1" applyAlignment="1">
      <alignment horizontal="left" vertical="center" indent="1" wrapText="1"/>
    </xf>
    <xf numFmtId="0" fontId="1" fillId="5" borderId="7" xfId="0" applyFont="1" applyFill="1" applyBorder="1" applyAlignment="1">
      <alignment horizontal="left" vertical="center" indent="1" wrapText="1"/>
    </xf>
    <xf numFmtId="0" fontId="1" fillId="4" borderId="7" xfId="0" applyFont="1" applyFill="1" applyBorder="1" applyAlignment="1">
      <alignment horizontal="left" vertical="center" indent="1" wrapText="1"/>
    </xf>
    <xf numFmtId="166" fontId="12" fillId="5" borderId="7" xfId="0" applyNumberFormat="1" applyFont="1" applyFill="1" applyBorder="1" applyAlignment="1">
      <alignment horizontal="right" vertical="center"/>
    </xf>
    <xf numFmtId="166" fontId="12" fillId="4" borderId="7" xfId="0" applyNumberFormat="1" applyFont="1" applyFill="1" applyBorder="1" applyAlignment="1">
      <alignment horizontal="right" vertical="center"/>
    </xf>
    <xf numFmtId="0" fontId="11" fillId="7" borderId="8" xfId="0" applyFont="1" applyFill="1" applyBorder="1" applyAlignment="1">
      <alignment horizontal="left" vertical="center" indent="1"/>
    </xf>
    <xf numFmtId="0" fontId="1" fillId="7" borderId="8" xfId="0" applyFont="1" applyFill="1" applyBorder="1" applyAlignment="1">
      <alignment vertical="center"/>
    </xf>
    <xf numFmtId="164" fontId="13" fillId="7" borderId="9" xfId="0" applyNumberFormat="1" applyFont="1" applyFill="1" applyBorder="1" applyAlignment="1">
      <alignment horizontal="right" vertical="center"/>
    </xf>
    <xf numFmtId="166" fontId="13" fillId="7" borderId="9" xfId="0" applyNumberFormat="1" applyFont="1" applyFill="1" applyBorder="1" applyAlignment="1">
      <alignment horizontal="right" vertical="center"/>
    </xf>
    <xf numFmtId="0" fontId="10" fillId="2" borderId="0" xfId="0" applyFont="1" applyFill="1" applyAlignment="1">
      <alignment horizontal="right" vertical="center" wrapText="1"/>
    </xf>
    <xf numFmtId="164" fontId="13" fillId="5" borderId="7" xfId="0" applyNumberFormat="1" applyFont="1" applyFill="1" applyBorder="1" applyAlignment="1">
      <alignment horizontal="right" vertical="center"/>
    </xf>
    <xf numFmtId="0" fontId="14" fillId="6" borderId="0" xfId="0" applyFont="1" applyFill="1" applyAlignment="1">
      <alignment vertical="top" wrapText="1"/>
    </xf>
    <xf numFmtId="0" fontId="1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2B164F"/>
                </a:solidFill>
                <a:latin typeface="Century Gothic"/>
              </a:defRPr>
            </a:pPr>
            <a:r>
              <a:rPr lang="en-US" sz="1100" b="1" baseline="0">
                <a:solidFill>
                  <a:srgbClr val="2B164F"/>
                </a:solidFill>
                <a:latin typeface="Century Gothic"/>
              </a:rPr>
              <a:t>UA suspendidas por provincia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UA suspendidas por provincia</c:v>
          </c:tx>
          <c:spPr>
            <a:solidFill>
              <a:srgbClr val="512F8D"/>
            </a:solidFill>
            <a:ln>
              <a:noFill/>
            </a:ln>
          </c:spPr>
          <c:dLbls>
            <c:numFmt formatCode="#,##0" sourceLinked="0"/>
            <c:txPr>
              <a:bodyPr/>
              <a:lstStyle/>
              <a:p>
                <a:pPr>
                  <a:defRPr sz="900" baseline="0">
                    <a:solidFill>
                      <a:srgbClr val="20202B"/>
                    </a:solidFill>
                    <a:latin typeface="Calibri"/>
                  </a:defRPr>
                </a:pPr>
                <a:endParaRPr lang="en-US"/>
              </a:p>
            </c:txPr>
            <c:showVal val="1"/>
          </c:dLbls>
          <c:cat>
            <c:strRef>
              <c:f>Resumen!$B$21:$B$23</c:f>
              <c:strCache>
                <c:ptCount val="3"/>
                <c:pt idx="0">
                  <c:v>El Oro</c:v>
                </c:pt>
                <c:pt idx="1">
                  <c:v>Guayas</c:v>
                </c:pt>
                <c:pt idx="2">
                  <c:v>Santa Elena</c:v>
                </c:pt>
              </c:strCache>
            </c:strRef>
          </c:cat>
          <c:val>
            <c:numRef>
              <c:f>Resumen!$C$21:$C$23</c:f>
              <c:numCache>
                <c:formatCode>General</c:formatCode>
                <c:ptCount val="3"/>
                <c:pt idx="0">
                  <c:v>75</c:v>
                </c:pt>
                <c:pt idx="1">
                  <c:v>17</c:v>
                </c:pt>
                <c:pt idx="2">
                  <c:v>7</c:v>
                </c:pt>
              </c:numCache>
            </c:numRef>
          </c:val>
        </c:ser>
        <c:gapWidth val="55"/>
        <c:axId val="50010001"/>
        <c:axId val="50010002"/>
      </c:barChart>
      <c:catAx>
        <c:axId val="50010001"/>
        <c:scaling>
          <c:orientation val="maxMin"/>
        </c:scaling>
        <c:axPos val="l"/>
        <c:majorTickMark val="none"/>
        <c:tickLblPos val="nextTo"/>
        <c:spPr>
          <a:ln>
            <a:solidFill>
              <a:srgbClr val="D8D0F4"/>
            </a:solidFill>
          </a:ln>
        </c:spPr>
        <c:txPr>
          <a:bodyPr/>
          <a:lstStyle/>
          <a:p>
            <a:pPr>
              <a:defRPr sz="900" baseline="0">
                <a:solidFill>
                  <a:srgbClr val="20202B"/>
                </a:solidFill>
                <a:latin typeface="Calibri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in val="0"/>
        </c:scaling>
        <c:axPos val="t"/>
        <c:majorGridlines>
          <c:spPr>
            <a:ln w="9525">
              <a:solidFill>
                <a:srgbClr val="EEEAF4"/>
              </a:solidFill>
            </a:ln>
          </c:spPr>
        </c:majorGridlines>
        <c:numFmt formatCode="#,##0" sourceLinked="0"/>
        <c:majorTickMark val="none"/>
        <c:tickLblPos val="none"/>
        <c:spPr>
          <a:ln>
            <a:noFill/>
          </a:ln>
        </c:spPr>
        <c:txPr>
          <a:bodyPr/>
          <a:lstStyle/>
          <a:p>
            <a:pPr>
              <a:defRPr sz="800" baseline="0">
                <a:solidFill>
                  <a:srgbClr val="6E6880"/>
                </a:solidFill>
                <a:latin typeface="Calibri"/>
              </a:defRPr>
            </a:pPr>
            <a:endParaRPr lang="en-US"/>
          </a:p>
        </c:txPr>
        <c:crossAx val="50010001"/>
        <c:crosses val="autoZero"/>
        <c:crossBetween val="between"/>
      </c:valAx>
      <c:spPr>
        <a:noFill/>
        <a:ln>
          <a:noFill/>
        </a:ln>
      </c:spPr>
    </c:plotArea>
    <c:plotVisOnly val="1"/>
  </c:chart>
  <c:spPr>
    <a:solidFill>
      <a:srgbClr val="FFFFFF"/>
    </a:solidFill>
    <a:ln>
      <a:solidFill>
        <a:srgbClr val="E7E2EF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2B164F"/>
                </a:solidFill>
                <a:latin typeface="Century Gothic"/>
              </a:defRPr>
            </a:pPr>
            <a:r>
              <a:rPr lang="en-US" sz="1100" b="1" baseline="0">
                <a:solidFill>
                  <a:srgbClr val="2B164F"/>
                </a:solidFill>
                <a:latin typeface="Century Gothic"/>
              </a:rPr>
              <a:t>UA suspendidas por servicio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UA suspendidas por servicio</c:v>
          </c:tx>
          <c:spPr>
            <a:solidFill>
              <a:srgbClr val="512F8D"/>
            </a:solidFill>
            <a:ln>
              <a:noFill/>
            </a:ln>
          </c:spPr>
          <c:dLbls>
            <c:numFmt formatCode="#,##0" sourceLinked="0"/>
            <c:txPr>
              <a:bodyPr/>
              <a:lstStyle/>
              <a:p>
                <a:pPr>
                  <a:defRPr sz="900" baseline="0">
                    <a:solidFill>
                      <a:srgbClr val="20202B"/>
                    </a:solidFill>
                    <a:latin typeface="Calibri"/>
                  </a:defRPr>
                </a:pPr>
                <a:endParaRPr lang="en-US"/>
              </a:p>
            </c:txPr>
            <c:showVal val="1"/>
          </c:dLbls>
          <c:cat>
            <c:strRef>
              <c:f>Resumen!$B$41:$B$42</c:f>
              <c:strCache>
                <c:ptCount val="2"/>
                <c:pt idx="0">
                  <c:v>CNH</c:v>
                </c:pt>
                <c:pt idx="1">
                  <c:v>CDI</c:v>
                </c:pt>
              </c:strCache>
            </c:strRef>
          </c:cat>
          <c:val>
            <c:numRef>
              <c:f>Resumen!$C$41:$C$42</c:f>
              <c:numCache>
                <c:formatCode>General</c:formatCode>
                <c:ptCount val="2"/>
                <c:pt idx="0">
                  <c:v>64</c:v>
                </c:pt>
                <c:pt idx="1">
                  <c:v>35</c:v>
                </c:pt>
              </c:numCache>
            </c:numRef>
          </c:val>
        </c:ser>
        <c:gapWidth val="55"/>
        <c:axId val="50020001"/>
        <c:axId val="50020002"/>
      </c:barChart>
      <c:catAx>
        <c:axId val="50020001"/>
        <c:scaling>
          <c:orientation val="maxMin"/>
        </c:scaling>
        <c:axPos val="l"/>
        <c:majorTickMark val="none"/>
        <c:tickLblPos val="nextTo"/>
        <c:spPr>
          <a:ln>
            <a:solidFill>
              <a:srgbClr val="D8D0F4"/>
            </a:solidFill>
          </a:ln>
        </c:spPr>
        <c:txPr>
          <a:bodyPr/>
          <a:lstStyle/>
          <a:p>
            <a:pPr>
              <a:defRPr sz="900" baseline="0">
                <a:solidFill>
                  <a:srgbClr val="20202B"/>
                </a:solidFill>
                <a:latin typeface="Calibri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in val="0"/>
        </c:scaling>
        <c:axPos val="t"/>
        <c:majorGridlines>
          <c:spPr>
            <a:ln w="9525">
              <a:solidFill>
                <a:srgbClr val="EEEAF4"/>
              </a:solidFill>
            </a:ln>
          </c:spPr>
        </c:majorGridlines>
        <c:numFmt formatCode="#,##0" sourceLinked="0"/>
        <c:majorTickMark val="none"/>
        <c:tickLblPos val="none"/>
        <c:spPr>
          <a:ln>
            <a:noFill/>
          </a:ln>
        </c:spPr>
        <c:txPr>
          <a:bodyPr/>
          <a:lstStyle/>
          <a:p>
            <a:pPr>
              <a:defRPr sz="800" baseline="0">
                <a:solidFill>
                  <a:srgbClr val="6E6880"/>
                </a:solidFill>
                <a:latin typeface="Calibri"/>
              </a:defRPr>
            </a:pPr>
            <a:endParaRPr lang="en-US"/>
          </a:p>
        </c:txPr>
        <c:crossAx val="50020001"/>
        <c:crosses val="autoZero"/>
        <c:crossBetween val="between"/>
      </c:valAx>
      <c:spPr>
        <a:noFill/>
        <a:ln>
          <a:noFill/>
        </a:ln>
      </c:spPr>
    </c:plotArea>
    <c:plotVisOnly val="1"/>
  </c:chart>
  <c:spPr>
    <a:solidFill>
      <a:srgbClr val="FFFFFF"/>
    </a:solidFill>
    <a:ln>
      <a:solidFill>
        <a:srgbClr val="E7E2EF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2B164F"/>
                </a:solidFill>
                <a:latin typeface="Century Gothic"/>
              </a:defRPr>
            </a:pPr>
            <a:r>
              <a:rPr lang="en-US" sz="1100" b="1" baseline="0">
                <a:solidFill>
                  <a:srgbClr val="2B164F"/>
                </a:solidFill>
                <a:latin typeface="Century Gothic"/>
              </a:rPr>
              <a:t>Alertas por provincia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Alertas por provincia</c:v>
          </c:tx>
          <c:spPr>
            <a:solidFill>
              <a:srgbClr val="512F8D"/>
            </a:solidFill>
            <a:ln>
              <a:noFill/>
            </a:ln>
          </c:spPr>
          <c:dLbls>
            <c:numFmt formatCode="#,##0" sourceLinked="0"/>
            <c:txPr>
              <a:bodyPr/>
              <a:lstStyle/>
              <a:p>
                <a:pPr>
                  <a:defRPr sz="900" baseline="0">
                    <a:solidFill>
                      <a:srgbClr val="20202B"/>
                    </a:solidFill>
                    <a:latin typeface="Calibri"/>
                  </a:defRPr>
                </a:pPr>
                <a:endParaRPr lang="en-US"/>
              </a:p>
            </c:txPr>
            <c:showVal val="1"/>
          </c:dLbls>
          <c:cat>
            <c:strRef>
              <c:f>Resumen!$B$60:$B$62</c:f>
              <c:strCache>
                <c:ptCount val="3"/>
                <c:pt idx="0">
                  <c:v>Guayas</c:v>
                </c:pt>
                <c:pt idx="1">
                  <c:v>El Oro</c:v>
                </c:pt>
                <c:pt idx="2">
                  <c:v>Manabí</c:v>
                </c:pt>
              </c:strCache>
            </c:strRef>
          </c:cat>
          <c:val>
            <c:numRef>
              <c:f>Resumen!$C$60:$C$62</c:f>
              <c:numCache>
                <c:formatCode>General</c:formatCode>
                <c:ptCount val="3"/>
                <c:pt idx="0">
                  <c:v>6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</c:ser>
        <c:gapWidth val="55"/>
        <c:axId val="50030001"/>
        <c:axId val="50030002"/>
      </c:barChart>
      <c:catAx>
        <c:axId val="50030001"/>
        <c:scaling>
          <c:orientation val="maxMin"/>
        </c:scaling>
        <c:axPos val="l"/>
        <c:majorTickMark val="none"/>
        <c:tickLblPos val="nextTo"/>
        <c:spPr>
          <a:ln>
            <a:solidFill>
              <a:srgbClr val="D8D0F4"/>
            </a:solidFill>
          </a:ln>
        </c:spPr>
        <c:txPr>
          <a:bodyPr/>
          <a:lstStyle/>
          <a:p>
            <a:pPr>
              <a:defRPr sz="900" baseline="0">
                <a:solidFill>
                  <a:srgbClr val="20202B"/>
                </a:solidFill>
                <a:latin typeface="Calibri"/>
              </a:defRPr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  <c:min val="0"/>
        </c:scaling>
        <c:axPos val="t"/>
        <c:majorGridlines>
          <c:spPr>
            <a:ln w="9525">
              <a:solidFill>
                <a:srgbClr val="EEEAF4"/>
              </a:solidFill>
            </a:ln>
          </c:spPr>
        </c:majorGridlines>
        <c:numFmt formatCode="#,##0" sourceLinked="0"/>
        <c:majorTickMark val="none"/>
        <c:tickLblPos val="none"/>
        <c:spPr>
          <a:ln>
            <a:noFill/>
          </a:ln>
        </c:spPr>
        <c:txPr>
          <a:bodyPr/>
          <a:lstStyle/>
          <a:p>
            <a:pPr>
              <a:defRPr sz="800" baseline="0">
                <a:solidFill>
                  <a:srgbClr val="6E6880"/>
                </a:solidFill>
                <a:latin typeface="Calibri"/>
              </a:defRPr>
            </a:pPr>
            <a:endParaRPr lang="en-US"/>
          </a:p>
        </c:txPr>
        <c:crossAx val="50030001"/>
        <c:crosses val="autoZero"/>
        <c:crossBetween val="between"/>
      </c:valAx>
      <c:spPr>
        <a:noFill/>
        <a:ln>
          <a:noFill/>
        </a:ln>
      </c:spPr>
    </c:plotArea>
    <c:plotVisOnly val="1"/>
  </c:chart>
  <c:spPr>
    <a:solidFill>
      <a:srgbClr val="FFFFFF"/>
    </a:solidFill>
    <a:ln>
      <a:solidFill>
        <a:srgbClr val="E7E2EF"/>
      </a:solidFill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2B164F"/>
                </a:solidFill>
                <a:latin typeface="Century Gothic"/>
              </a:defRPr>
            </a:pPr>
            <a:r>
              <a:rPr lang="en-US" sz="1100" b="1" baseline="0">
                <a:solidFill>
                  <a:srgbClr val="2B164F"/>
                </a:solidFill>
                <a:latin typeface="Century Gothic"/>
              </a:rPr>
              <a:t>Alertas por servicio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Alertas por servicio</c:v>
          </c:tx>
          <c:spPr>
            <a:solidFill>
              <a:srgbClr val="512F8D"/>
            </a:solidFill>
            <a:ln>
              <a:noFill/>
            </a:ln>
          </c:spPr>
          <c:dLbls>
            <c:numFmt formatCode="#,##0" sourceLinked="0"/>
            <c:txPr>
              <a:bodyPr/>
              <a:lstStyle/>
              <a:p>
                <a:pPr>
                  <a:defRPr sz="900" baseline="0">
                    <a:solidFill>
                      <a:srgbClr val="20202B"/>
                    </a:solidFill>
                    <a:latin typeface="Calibri"/>
                  </a:defRPr>
                </a:pPr>
                <a:endParaRPr lang="en-US"/>
              </a:p>
            </c:txPr>
            <c:showVal val="1"/>
          </c:dLbls>
          <c:cat>
            <c:strRef>
              <c:f>Resumen!$B$80:$B$81</c:f>
              <c:strCache>
                <c:ptCount val="2"/>
                <c:pt idx="0">
                  <c:v>Desarrollo Infantil</c:v>
                </c:pt>
                <c:pt idx="1">
                  <c:v>Creciendo con Nuestros Hijos (CNH)</c:v>
                </c:pt>
              </c:strCache>
            </c:strRef>
          </c:cat>
          <c:val>
            <c:numRef>
              <c:f>Resumen!$C$80:$C$81</c:f>
              <c:numCache>
                <c:formatCode>General</c:formatCode>
                <c:ptCount val="2"/>
                <c:pt idx="0">
                  <c:v>8</c:v>
                </c:pt>
                <c:pt idx="1">
                  <c:v>2</c:v>
                </c:pt>
              </c:numCache>
            </c:numRef>
          </c:val>
        </c:ser>
        <c:gapWidth val="55"/>
        <c:axId val="50040001"/>
        <c:axId val="50040002"/>
      </c:barChart>
      <c:catAx>
        <c:axId val="50040001"/>
        <c:scaling>
          <c:orientation val="maxMin"/>
        </c:scaling>
        <c:axPos val="l"/>
        <c:majorTickMark val="none"/>
        <c:tickLblPos val="nextTo"/>
        <c:spPr>
          <a:ln>
            <a:solidFill>
              <a:srgbClr val="D8D0F4"/>
            </a:solidFill>
          </a:ln>
        </c:spPr>
        <c:txPr>
          <a:bodyPr/>
          <a:lstStyle/>
          <a:p>
            <a:pPr>
              <a:defRPr sz="900" baseline="0">
                <a:solidFill>
                  <a:srgbClr val="20202B"/>
                </a:solidFill>
                <a:latin typeface="Calibri"/>
              </a:defRPr>
            </a:pPr>
            <a:endParaRPr lang="en-US"/>
          </a:p>
        </c:txPr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  <c:min val="0"/>
        </c:scaling>
        <c:axPos val="t"/>
        <c:majorGridlines>
          <c:spPr>
            <a:ln w="9525">
              <a:solidFill>
                <a:srgbClr val="EEEAF4"/>
              </a:solidFill>
            </a:ln>
          </c:spPr>
        </c:majorGridlines>
        <c:numFmt formatCode="#,##0" sourceLinked="0"/>
        <c:majorTickMark val="none"/>
        <c:tickLblPos val="none"/>
        <c:spPr>
          <a:ln>
            <a:noFill/>
          </a:ln>
        </c:spPr>
        <c:txPr>
          <a:bodyPr/>
          <a:lstStyle/>
          <a:p>
            <a:pPr>
              <a:defRPr sz="800" baseline="0">
                <a:solidFill>
                  <a:srgbClr val="6E6880"/>
                </a:solidFill>
                <a:latin typeface="Calibri"/>
              </a:defRPr>
            </a:pPr>
            <a:endParaRPr lang="en-US"/>
          </a:p>
        </c:txPr>
        <c:crossAx val="50040001"/>
        <c:crosses val="autoZero"/>
        <c:crossBetween val="between"/>
      </c:valAx>
      <c:spPr>
        <a:noFill/>
        <a:ln>
          <a:noFill/>
        </a:ln>
      </c:spPr>
    </c:plotArea>
    <c:plotVisOnly val="1"/>
  </c:chart>
  <c:spPr>
    <a:solidFill>
      <a:srgbClr val="FFFFFF"/>
    </a:solidFill>
    <a:ln>
      <a:solidFill>
        <a:srgbClr val="E7E2EF"/>
      </a:solidFill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Evolución de las alertas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Registradas en el día</c:v>
          </c:tx>
          <c:spPr>
            <a:ln>
              <a:solidFill>
                <a:srgbClr val="F8C018"/>
              </a:solidFill>
            </a:ln>
          </c:spPr>
          <c:marker>
            <c:symbol val="none"/>
          </c:marker>
          <c:cat>
            <c:strRef>
              <c:f>Evolución!$B$8:$B$50</c:f>
              <c:strCache>
                <c:ptCount val="43"/>
                <c:pt idx="0">
                  <c:v>14/09/2026</c:v>
                </c:pt>
                <c:pt idx="1">
                  <c:v>15/09/2026</c:v>
                </c:pt>
                <c:pt idx="2">
                  <c:v>16/09/2026</c:v>
                </c:pt>
                <c:pt idx="3">
                  <c:v>17/09/2026</c:v>
                </c:pt>
                <c:pt idx="4">
                  <c:v>18/09/2026</c:v>
                </c:pt>
                <c:pt idx="5">
                  <c:v>19/09/2026</c:v>
                </c:pt>
                <c:pt idx="6">
                  <c:v>20/09/2026</c:v>
                </c:pt>
                <c:pt idx="7">
                  <c:v>21/09/2026</c:v>
                </c:pt>
                <c:pt idx="8">
                  <c:v>22/09/2026</c:v>
                </c:pt>
                <c:pt idx="9">
                  <c:v>23/09/2026</c:v>
                </c:pt>
                <c:pt idx="10">
                  <c:v>24/09/2026</c:v>
                </c:pt>
                <c:pt idx="11">
                  <c:v>25/09/2026</c:v>
                </c:pt>
                <c:pt idx="12">
                  <c:v>26/09/2026</c:v>
                </c:pt>
                <c:pt idx="13">
                  <c:v>27/09/2026</c:v>
                </c:pt>
                <c:pt idx="14">
                  <c:v>28/09/2026</c:v>
                </c:pt>
                <c:pt idx="15">
                  <c:v>29/09/2026</c:v>
                </c:pt>
                <c:pt idx="16">
                  <c:v>30/09/2026</c:v>
                </c:pt>
                <c:pt idx="17">
                  <c:v>01/10/2026</c:v>
                </c:pt>
                <c:pt idx="18">
                  <c:v>02/10/2026</c:v>
                </c:pt>
                <c:pt idx="19">
                  <c:v>03/10/2026</c:v>
                </c:pt>
                <c:pt idx="20">
                  <c:v>04/10/2026</c:v>
                </c:pt>
                <c:pt idx="21">
                  <c:v>05/10/2026</c:v>
                </c:pt>
                <c:pt idx="22">
                  <c:v>06/10/2026</c:v>
                </c:pt>
                <c:pt idx="23">
                  <c:v>07/10/2026</c:v>
                </c:pt>
                <c:pt idx="24">
                  <c:v>08/10/2026</c:v>
                </c:pt>
                <c:pt idx="25">
                  <c:v>09/10/2026</c:v>
                </c:pt>
                <c:pt idx="26">
                  <c:v>10/10/2026</c:v>
                </c:pt>
                <c:pt idx="27">
                  <c:v>11/10/2026</c:v>
                </c:pt>
                <c:pt idx="28">
                  <c:v>12/10/2026</c:v>
                </c:pt>
                <c:pt idx="29">
                  <c:v>13/10/2026</c:v>
                </c:pt>
                <c:pt idx="30">
                  <c:v>14/10/2026</c:v>
                </c:pt>
                <c:pt idx="31">
                  <c:v>15/10/2026</c:v>
                </c:pt>
                <c:pt idx="32">
                  <c:v>16/10/2026</c:v>
                </c:pt>
                <c:pt idx="33">
                  <c:v>17/10/2026</c:v>
                </c:pt>
                <c:pt idx="34">
                  <c:v>18/10/2026</c:v>
                </c:pt>
                <c:pt idx="35">
                  <c:v>19/10/2026</c:v>
                </c:pt>
                <c:pt idx="36">
                  <c:v>20/10/2026</c:v>
                </c:pt>
                <c:pt idx="37">
                  <c:v>21/10/2026</c:v>
                </c:pt>
                <c:pt idx="38">
                  <c:v>22/10/2026</c:v>
                </c:pt>
                <c:pt idx="39">
                  <c:v>23/10/2026</c:v>
                </c:pt>
                <c:pt idx="40">
                  <c:v>24/10/2026</c:v>
                </c:pt>
                <c:pt idx="41">
                  <c:v>25/10/2026</c:v>
                </c:pt>
                <c:pt idx="42">
                  <c:v>26/10/2026</c:v>
                </c:pt>
              </c:strCache>
            </c:strRef>
          </c:cat>
          <c:val>
            <c:numRef>
              <c:f>Evolución!$C$8:$C$50</c:f>
              <c:numCache>
                <c:formatCode>General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2</c:v>
                </c:pt>
                <c:pt idx="33">
                  <c:v>0</c:v>
                </c:pt>
                <c:pt idx="34">
                  <c:v>0</c:v>
                </c:pt>
                <c:pt idx="35">
                  <c:v>2</c:v>
                </c:pt>
                <c:pt idx="36">
                  <c:v>6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</c:numCache>
            </c:numRef>
          </c:val>
        </c:ser>
        <c:ser>
          <c:idx val="1"/>
          <c:order val="1"/>
          <c:tx>
            <c:v>Acumuladas</c:v>
          </c:tx>
          <c:spPr>
            <a:ln>
              <a:solidFill>
                <a:srgbClr val="512F8D"/>
              </a:solidFill>
            </a:ln>
          </c:spPr>
          <c:marker>
            <c:symbol val="none"/>
          </c:marker>
          <c:cat>
            <c:strRef>
              <c:f>Evolución!$B$8:$B$50</c:f>
              <c:strCache>
                <c:ptCount val="43"/>
                <c:pt idx="0">
                  <c:v>14/09/2026</c:v>
                </c:pt>
                <c:pt idx="1">
                  <c:v>15/09/2026</c:v>
                </c:pt>
                <c:pt idx="2">
                  <c:v>16/09/2026</c:v>
                </c:pt>
                <c:pt idx="3">
                  <c:v>17/09/2026</c:v>
                </c:pt>
                <c:pt idx="4">
                  <c:v>18/09/2026</c:v>
                </c:pt>
                <c:pt idx="5">
                  <c:v>19/09/2026</c:v>
                </c:pt>
                <c:pt idx="6">
                  <c:v>20/09/2026</c:v>
                </c:pt>
                <c:pt idx="7">
                  <c:v>21/09/2026</c:v>
                </c:pt>
                <c:pt idx="8">
                  <c:v>22/09/2026</c:v>
                </c:pt>
                <c:pt idx="9">
                  <c:v>23/09/2026</c:v>
                </c:pt>
                <c:pt idx="10">
                  <c:v>24/09/2026</c:v>
                </c:pt>
                <c:pt idx="11">
                  <c:v>25/09/2026</c:v>
                </c:pt>
                <c:pt idx="12">
                  <c:v>26/09/2026</c:v>
                </c:pt>
                <c:pt idx="13">
                  <c:v>27/09/2026</c:v>
                </c:pt>
                <c:pt idx="14">
                  <c:v>28/09/2026</c:v>
                </c:pt>
                <c:pt idx="15">
                  <c:v>29/09/2026</c:v>
                </c:pt>
                <c:pt idx="16">
                  <c:v>30/09/2026</c:v>
                </c:pt>
                <c:pt idx="17">
                  <c:v>01/10/2026</c:v>
                </c:pt>
                <c:pt idx="18">
                  <c:v>02/10/2026</c:v>
                </c:pt>
                <c:pt idx="19">
                  <c:v>03/10/2026</c:v>
                </c:pt>
                <c:pt idx="20">
                  <c:v>04/10/2026</c:v>
                </c:pt>
                <c:pt idx="21">
                  <c:v>05/10/2026</c:v>
                </c:pt>
                <c:pt idx="22">
                  <c:v>06/10/2026</c:v>
                </c:pt>
                <c:pt idx="23">
                  <c:v>07/10/2026</c:v>
                </c:pt>
                <c:pt idx="24">
                  <c:v>08/10/2026</c:v>
                </c:pt>
                <c:pt idx="25">
                  <c:v>09/10/2026</c:v>
                </c:pt>
                <c:pt idx="26">
                  <c:v>10/10/2026</c:v>
                </c:pt>
                <c:pt idx="27">
                  <c:v>11/10/2026</c:v>
                </c:pt>
                <c:pt idx="28">
                  <c:v>12/10/2026</c:v>
                </c:pt>
                <c:pt idx="29">
                  <c:v>13/10/2026</c:v>
                </c:pt>
                <c:pt idx="30">
                  <c:v>14/10/2026</c:v>
                </c:pt>
                <c:pt idx="31">
                  <c:v>15/10/2026</c:v>
                </c:pt>
                <c:pt idx="32">
                  <c:v>16/10/2026</c:v>
                </c:pt>
                <c:pt idx="33">
                  <c:v>17/10/2026</c:v>
                </c:pt>
                <c:pt idx="34">
                  <c:v>18/10/2026</c:v>
                </c:pt>
                <c:pt idx="35">
                  <c:v>19/10/2026</c:v>
                </c:pt>
                <c:pt idx="36">
                  <c:v>20/10/2026</c:v>
                </c:pt>
                <c:pt idx="37">
                  <c:v>21/10/2026</c:v>
                </c:pt>
                <c:pt idx="38">
                  <c:v>22/10/2026</c:v>
                </c:pt>
                <c:pt idx="39">
                  <c:v>23/10/2026</c:v>
                </c:pt>
                <c:pt idx="40">
                  <c:v>24/10/2026</c:v>
                </c:pt>
                <c:pt idx="41">
                  <c:v>25/10/2026</c:v>
                </c:pt>
                <c:pt idx="42">
                  <c:v>26/10/2026</c:v>
                </c:pt>
              </c:strCache>
            </c:strRef>
          </c:cat>
          <c:val>
            <c:numRef>
              <c:f>Evolución!$D$8:$D$50</c:f>
              <c:numCache>
                <c:formatCode>General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4</c:v>
                </c:pt>
                <c:pt idx="36">
                  <c:v>10</c:v>
                </c:pt>
                <c:pt idx="37">
                  <c:v>10</c:v>
                </c:pt>
                <c:pt idx="38">
                  <c:v>10</c:v>
                </c:pt>
                <c:pt idx="39">
                  <c:v>10</c:v>
                </c:pt>
                <c:pt idx="40">
                  <c:v>10</c:v>
                </c:pt>
                <c:pt idx="41">
                  <c:v>10</c:v>
                </c:pt>
                <c:pt idx="42">
                  <c:v>10</c:v>
                </c:pt>
              </c:numCache>
            </c:numRef>
          </c:val>
        </c:ser>
        <c:marker val="1"/>
        <c:axId val="50050001"/>
        <c:axId val="50050002"/>
      </c:lineChart>
      <c:catAx>
        <c:axId val="50050001"/>
        <c:scaling>
          <c:orientation val="minMax"/>
        </c:scaling>
        <c:axPos val="b"/>
        <c:tickLblPos val="nextTo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l"/>
        <c:majorGridlines/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chart" Target="../charts/chart1.xml"/><Relationship Id="rId8" Type="http://schemas.openxmlformats.org/officeDocument/2006/relationships/chart" Target="../charts/chart2.xml"/><Relationship Id="rId9" Type="http://schemas.openxmlformats.org/officeDocument/2006/relationships/chart" Target="../charts/chart3.xml"/><Relationship Id="rId10" Type="http://schemas.openxmlformats.org/officeDocument/2006/relationships/chart" Target="../charts/chart4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chart" Target="../charts/chart5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10</xdr:col>
      <xdr:colOff>333375</xdr:colOff>
      <xdr:row>1</xdr:row>
      <xdr:rowOff>19050</xdr:rowOff>
    </xdr:from>
    <xdr:to>
      <xdr:col>12</xdr:col>
      <xdr:colOff>750404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515350" y="171450"/>
          <a:ext cx="2188679" cy="381000"/>
        </a:xfrm>
        <a:prstGeom prst="rect">
          <a:avLst/>
        </a:prstGeom>
      </xdr:spPr>
    </xdr:pic>
    <xdr:clientData/>
  </xdr:twoCellAnchor>
  <xdr:twoCellAnchor editAs="absolute">
    <xdr:from>
      <xdr:col>1</xdr:col>
      <xdr:colOff>0</xdr:colOff>
      <xdr:row>96</xdr:row>
      <xdr:rowOff>0</xdr:rowOff>
    </xdr:from>
    <xdr:to>
      <xdr:col>5</xdr:col>
      <xdr:colOff>457200</xdr:colOff>
      <xdr:row>110</xdr:row>
      <xdr:rowOff>83344</xdr:rowOff>
    </xdr:to>
    <xdr:pic>
      <xdr:nvPicPr>
        <xdr:cNvPr id="3" name="Picture 2" descr="Alertas por provincia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09550" y="21945600"/>
          <a:ext cx="4000500" cy="2750344"/>
        </a:xfrm>
        <a:prstGeom prst="rect">
          <a:avLst/>
        </a:prstGeom>
      </xdr:spPr>
    </xdr:pic>
    <xdr:clientData/>
  </xdr:twoCellAnchor>
  <xdr:twoCellAnchor editAs="absolute">
    <xdr:from>
      <xdr:col>1</xdr:col>
      <xdr:colOff>0</xdr:colOff>
      <xdr:row>115</xdr:row>
      <xdr:rowOff>0</xdr:rowOff>
    </xdr:from>
    <xdr:to>
      <xdr:col>5</xdr:col>
      <xdr:colOff>457200</xdr:colOff>
      <xdr:row>129</xdr:row>
      <xdr:rowOff>83344</xdr:rowOff>
    </xdr:to>
    <xdr:pic>
      <xdr:nvPicPr>
        <xdr:cNvPr id="4" name="Picture 3" descr="Kits en provincias priorizadas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09550" y="25717500"/>
          <a:ext cx="4000500" cy="2750344"/>
        </a:xfrm>
        <a:prstGeom prst="rect">
          <a:avLst/>
        </a:prstGeom>
      </xdr:spPr>
    </xdr:pic>
    <xdr:clientData/>
  </xdr:twoCellAnchor>
  <xdr:twoCellAnchor editAs="absolute">
    <xdr:from>
      <xdr:col>1</xdr:col>
      <xdr:colOff>285750</xdr:colOff>
      <xdr:row>134</xdr:row>
      <xdr:rowOff>95250</xdr:rowOff>
    </xdr:from>
    <xdr:to>
      <xdr:col>1</xdr:col>
      <xdr:colOff>533400</xdr:colOff>
      <xdr:row>134</xdr:row>
      <xdr:rowOff>342900</xdr:rowOff>
    </xdr:to>
    <xdr:pic>
      <xdr:nvPicPr>
        <xdr:cNvPr id="5" name="Picture 4" descr="icono_shield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495300" y="29584650"/>
          <a:ext cx="247650" cy="247650"/>
        </a:xfrm>
        <a:prstGeom prst="rect">
          <a:avLst/>
        </a:prstGeom>
      </xdr:spPr>
    </xdr:pic>
    <xdr:clientData/>
  </xdr:twoCellAnchor>
  <xdr:twoCellAnchor editAs="absolute">
    <xdr:from>
      <xdr:col>1</xdr:col>
      <xdr:colOff>285750</xdr:colOff>
      <xdr:row>136</xdr:row>
      <xdr:rowOff>95250</xdr:rowOff>
    </xdr:from>
    <xdr:to>
      <xdr:col>1</xdr:col>
      <xdr:colOff>533400</xdr:colOff>
      <xdr:row>136</xdr:row>
      <xdr:rowOff>342900</xdr:rowOff>
    </xdr:to>
    <xdr:pic>
      <xdr:nvPicPr>
        <xdr:cNvPr id="6" name="Picture 5" descr="icono_life-buoy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495300" y="30089475"/>
          <a:ext cx="247650" cy="247650"/>
        </a:xfrm>
        <a:prstGeom prst="rect">
          <a:avLst/>
        </a:prstGeom>
      </xdr:spPr>
    </xdr:pic>
    <xdr:clientData/>
  </xdr:twoCellAnchor>
  <xdr:twoCellAnchor editAs="absolute">
    <xdr:from>
      <xdr:col>1</xdr:col>
      <xdr:colOff>285750</xdr:colOff>
      <xdr:row>138</xdr:row>
      <xdr:rowOff>95250</xdr:rowOff>
    </xdr:from>
    <xdr:to>
      <xdr:col>1</xdr:col>
      <xdr:colOff>533400</xdr:colOff>
      <xdr:row>138</xdr:row>
      <xdr:rowOff>342900</xdr:rowOff>
    </xdr:to>
    <xdr:pic>
      <xdr:nvPicPr>
        <xdr:cNvPr id="7" name="Picture 6" descr="icono_hand-coins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495300" y="30594300"/>
          <a:ext cx="247650" cy="247650"/>
        </a:xfrm>
        <a:prstGeom prst="rect">
          <a:avLst/>
        </a:prstGeom>
      </xdr:spPr>
    </xdr:pic>
    <xdr:clientData/>
  </xdr:twoCellAnchor>
  <xdr:twoCellAnchor>
    <xdr:from>
      <xdr:col>1</xdr:col>
      <xdr:colOff>0</xdr:colOff>
      <xdr:row>23</xdr:row>
      <xdr:rowOff>0</xdr:rowOff>
    </xdr:from>
    <xdr:to>
      <xdr:col>8</xdr:col>
      <xdr:colOff>657225</xdr:colOff>
      <xdr:row>34</xdr:row>
      <xdr:rowOff>95250</xdr:rowOff>
    </xdr:to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</xdr:col>
      <xdr:colOff>0</xdr:colOff>
      <xdr:row>42</xdr:row>
      <xdr:rowOff>0</xdr:rowOff>
    </xdr:from>
    <xdr:to>
      <xdr:col>8</xdr:col>
      <xdr:colOff>657225</xdr:colOff>
      <xdr:row>53</xdr:row>
      <xdr:rowOff>95250</xdr:rowOff>
    </xdr:to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</xdr:col>
      <xdr:colOff>0</xdr:colOff>
      <xdr:row>62</xdr:row>
      <xdr:rowOff>0</xdr:rowOff>
    </xdr:from>
    <xdr:to>
      <xdr:col>8</xdr:col>
      <xdr:colOff>657225</xdr:colOff>
      <xdr:row>73</xdr:row>
      <xdr:rowOff>95250</xdr:rowOff>
    </xdr:to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</xdr:col>
      <xdr:colOff>0</xdr:colOff>
      <xdr:row>81</xdr:row>
      <xdr:rowOff>0</xdr:rowOff>
    </xdr:from>
    <xdr:to>
      <xdr:col>8</xdr:col>
      <xdr:colOff>657225</xdr:colOff>
      <xdr:row>92</xdr:row>
      <xdr:rowOff>95250</xdr:rowOff>
    </xdr:to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1104900</xdr:colOff>
      <xdr:row>1</xdr:row>
      <xdr:rowOff>19050</xdr:rowOff>
    </xdr:from>
    <xdr:to>
      <xdr:col>3</xdr:col>
      <xdr:colOff>1579079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828925" y="171450"/>
          <a:ext cx="2188679" cy="381000"/>
        </a:xfrm>
        <a:prstGeom prst="rect">
          <a:avLst/>
        </a:prstGeom>
      </xdr:spPr>
    </xdr:pic>
    <xdr:clientData/>
  </xdr:twoCellAnchor>
  <xdr:twoCellAnchor>
    <xdr:from>
      <xdr:col>1</xdr:col>
      <xdr:colOff>0</xdr:colOff>
      <xdr:row>50</xdr:row>
      <xdr:rowOff>0</xdr:rowOff>
    </xdr:from>
    <xdr:to>
      <xdr:col>9</xdr:col>
      <xdr:colOff>28575</xdr:colOff>
      <xdr:row>65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9</xdr:col>
      <xdr:colOff>438150</xdr:colOff>
      <xdr:row>1</xdr:row>
      <xdr:rowOff>19050</xdr:rowOff>
    </xdr:from>
    <xdr:to>
      <xdr:col>10</xdr:col>
      <xdr:colOff>979004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697700" y="171450"/>
          <a:ext cx="2188679" cy="381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1238250</xdr:colOff>
      <xdr:row>1</xdr:row>
      <xdr:rowOff>19050</xdr:rowOff>
    </xdr:from>
    <xdr:to>
      <xdr:col>7</xdr:col>
      <xdr:colOff>1579079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287125" y="171450"/>
          <a:ext cx="2188679" cy="3810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838200</xdr:colOff>
      <xdr:row>1</xdr:row>
      <xdr:rowOff>19050</xdr:rowOff>
    </xdr:from>
    <xdr:to>
      <xdr:col>6</xdr:col>
      <xdr:colOff>1512404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839200" y="171450"/>
          <a:ext cx="2188679" cy="3810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1638300</xdr:colOff>
      <xdr:row>1</xdr:row>
      <xdr:rowOff>19050</xdr:rowOff>
    </xdr:from>
    <xdr:to>
      <xdr:col>7</xdr:col>
      <xdr:colOff>979004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153900" y="171450"/>
          <a:ext cx="2188679" cy="381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5191125</xdr:colOff>
      <xdr:row>1</xdr:row>
      <xdr:rowOff>19050</xdr:rowOff>
    </xdr:from>
    <xdr:to>
      <xdr:col>2</xdr:col>
      <xdr:colOff>7379804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15250" y="171450"/>
          <a:ext cx="2188679" cy="381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MTDH Institucional">
  <a:themeElements>
    <a:clrScheme name="MTDH">
      <a:dk1>
        <a:sysClr val="windowText" lastClr="000000"/>
      </a:dk1>
      <a:lt1>
        <a:sysClr val="window" lastClr="FFFFFF"/>
      </a:lt1>
      <a:dk2>
        <a:srgbClr val="2B164F"/>
      </a:dk2>
      <a:lt2>
        <a:srgbClr val="EBE5F3"/>
      </a:lt2>
      <a:accent1>
        <a:srgbClr val="512F8D"/>
      </a:accent1>
      <a:accent2>
        <a:srgbClr val="C33F8D"/>
      </a:accent2>
      <a:accent3>
        <a:srgbClr val="F8C018"/>
      </a:accent3>
      <a:accent4>
        <a:srgbClr val="7657B9"/>
      </a:accent4>
      <a:accent5>
        <a:srgbClr val="A995E0"/>
      </a:accent5>
      <a:accent6>
        <a:srgbClr val="3D216D"/>
      </a:accent6>
      <a:hlink>
        <a:srgbClr val="512F8D"/>
      </a:hlink>
      <a:folHlink>
        <a:srgbClr val="7657B9"/>
      </a:folHlink>
    </a:clrScheme>
    <a:fontScheme name="Office">
      <a:majorFont>
        <a:latin typeface="Century Gothic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512F8D"/>
    <pageSetUpPr fitToPage="1"/>
  </sheetPr>
  <dimension ref="A1:N140"/>
  <sheetViews>
    <sheetView showGridLines="0" tabSelected="1" zoomScale="90" zoomScaleNormal="90" workbookViewId="0"/>
  </sheetViews>
  <sheetFormatPr defaultRowHeight="15"/>
  <cols>
    <col min="1" max="1" width="3.140625" customWidth="1"/>
    <col min="2" max="13" width="13.28515625" customWidth="1"/>
    <col min="14" max="14" width="3.140625" customWidth="1"/>
  </cols>
  <sheetData>
    <row r="1" spans="1:14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ht="40" customHeight="1">
      <c r="A2" s="1"/>
      <c r="B2" s="2" t="s">
        <v>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1:14" ht="22" customHeight="1">
      <c r="A3" s="1"/>
      <c r="B3" s="3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spans="1:14" ht="20" customHeight="1">
      <c r="A4" s="1"/>
      <c r="B4" s="4" t="s">
        <v>2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spans="1:14" ht="5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</row>
    <row r="7" spans="1:14" ht="27" customHeight="1">
      <c r="B7" s="6" t="s">
        <v>3</v>
      </c>
      <c r="C7" s="7"/>
      <c r="D7" s="7"/>
      <c r="E7" s="7"/>
      <c r="F7" s="7"/>
      <c r="G7" s="7"/>
      <c r="H7" s="7"/>
      <c r="I7" s="7"/>
      <c r="J7" s="7"/>
      <c r="K7" s="7"/>
      <c r="L7" s="7"/>
      <c r="M7" s="8" t="s">
        <v>4</v>
      </c>
    </row>
    <row r="9" spans="1:14" ht="24" customHeight="1">
      <c r="B9" s="9" t="s">
        <v>5</v>
      </c>
      <c r="C9" s="9"/>
      <c r="D9" s="9"/>
      <c r="E9" s="10" t="s">
        <v>7</v>
      </c>
      <c r="F9" s="10"/>
      <c r="G9" s="10"/>
      <c r="H9" s="11" t="s">
        <v>9</v>
      </c>
      <c r="I9" s="11"/>
      <c r="J9" s="11"/>
      <c r="K9" s="12" t="s">
        <v>11</v>
      </c>
      <c r="L9" s="12"/>
      <c r="M9" s="12"/>
    </row>
    <row r="10" spans="1:14" ht="21" customHeight="1">
      <c r="B10" s="13">
        <v>10</v>
      </c>
      <c r="C10" s="14"/>
      <c r="D10" s="14"/>
      <c r="E10" s="13">
        <v>13390</v>
      </c>
      <c r="F10" s="14"/>
      <c r="G10" s="14"/>
      <c r="H10" s="13">
        <v>113</v>
      </c>
      <c r="I10" s="14"/>
      <c r="J10" s="14"/>
      <c r="K10" s="15">
        <v>33200.8</v>
      </c>
      <c r="L10" s="14"/>
      <c r="M10" s="14"/>
    </row>
    <row r="11" spans="1:14" ht="21" customHeight="1"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</row>
    <row r="12" spans="1:14" ht="30" customHeight="1">
      <c r="B12" s="16" t="s">
        <v>6</v>
      </c>
      <c r="C12" s="16"/>
      <c r="D12" s="16"/>
      <c r="E12" s="16" t="s">
        <v>8</v>
      </c>
      <c r="F12" s="16"/>
      <c r="G12" s="16"/>
      <c r="H12" s="16" t="s">
        <v>10</v>
      </c>
      <c r="I12" s="16"/>
      <c r="J12" s="16"/>
      <c r="K12" s="16" t="s">
        <v>12</v>
      </c>
      <c r="L12" s="16"/>
      <c r="M12" s="16"/>
    </row>
    <row r="14" spans="1:14" ht="24" customHeight="1">
      <c r="B14" s="9" t="s">
        <v>13</v>
      </c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</row>
    <row r="15" spans="1:14" ht="21" customHeight="1">
      <c r="B15" s="13">
        <v>99</v>
      </c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</row>
    <row r="16" spans="1:14" ht="21" customHeight="1"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</row>
    <row r="17" spans="2:13" ht="30" customHeight="1">
      <c r="B17" s="16" t="s">
        <v>14</v>
      </c>
      <c r="C17" s="16"/>
      <c r="D17" s="16"/>
      <c r="E17" s="16"/>
      <c r="F17" s="16"/>
      <c r="G17" s="16"/>
      <c r="H17" s="16"/>
      <c r="I17" s="16"/>
      <c r="J17" s="16"/>
      <c r="K17" s="16"/>
      <c r="L17" s="16"/>
      <c r="M17" s="16"/>
    </row>
    <row r="19" spans="2:13" ht="27" customHeight="1">
      <c r="B19" s="6" t="s">
        <v>15</v>
      </c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</row>
    <row r="20" spans="2:13" ht="36" customHeight="1">
      <c r="B20" s="17" t="s">
        <v>16</v>
      </c>
      <c r="C20" s="18" t="s">
        <v>17</v>
      </c>
    </row>
    <row r="21" spans="2:13" ht="19" customHeight="1">
      <c r="B21" s="19" t="s">
        <v>18</v>
      </c>
      <c r="C21" s="20">
        <v>75</v>
      </c>
    </row>
    <row r="22" spans="2:13" ht="19" customHeight="1">
      <c r="B22" s="21" t="s">
        <v>19</v>
      </c>
      <c r="C22" s="22">
        <v>17</v>
      </c>
    </row>
    <row r="23" spans="2:13" ht="19" customHeight="1">
      <c r="B23" s="19" t="s">
        <v>20</v>
      </c>
      <c r="C23" s="20">
        <v>7</v>
      </c>
    </row>
    <row r="39" spans="2:13" ht="27" customHeight="1">
      <c r="B39" s="6" t="s">
        <v>21</v>
      </c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</row>
    <row r="40" spans="2:13" ht="36" customHeight="1">
      <c r="B40" s="17" t="s">
        <v>16</v>
      </c>
      <c r="C40" s="18" t="s">
        <v>17</v>
      </c>
    </row>
    <row r="41" spans="2:13" ht="19" customHeight="1">
      <c r="B41" s="19" t="s">
        <v>22</v>
      </c>
      <c r="C41" s="20">
        <v>64</v>
      </c>
    </row>
    <row r="42" spans="2:13" ht="19" customHeight="1">
      <c r="B42" s="21" t="s">
        <v>23</v>
      </c>
      <c r="C42" s="22">
        <v>35</v>
      </c>
    </row>
    <row r="58" spans="2:13" ht="27" customHeight="1">
      <c r="B58" s="6" t="s">
        <v>24</v>
      </c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</row>
    <row r="59" spans="2:13" ht="36" customHeight="1">
      <c r="B59" s="17" t="s">
        <v>16</v>
      </c>
      <c r="C59" s="18" t="s">
        <v>25</v>
      </c>
    </row>
    <row r="60" spans="2:13" ht="19" customHeight="1">
      <c r="B60" s="19" t="s">
        <v>19</v>
      </c>
      <c r="C60" s="20">
        <v>6</v>
      </c>
    </row>
    <row r="61" spans="2:13" ht="19" customHeight="1">
      <c r="B61" s="21" t="s">
        <v>18</v>
      </c>
      <c r="C61" s="22">
        <v>2</v>
      </c>
    </row>
    <row r="62" spans="2:13" ht="19" customHeight="1">
      <c r="B62" s="19" t="s">
        <v>26</v>
      </c>
      <c r="C62" s="20">
        <v>2</v>
      </c>
    </row>
    <row r="78" spans="2:13" ht="27" customHeight="1">
      <c r="B78" s="6" t="s">
        <v>27</v>
      </c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</row>
    <row r="79" spans="2:13" ht="36" customHeight="1">
      <c r="B79" s="17" t="s">
        <v>16</v>
      </c>
      <c r="C79" s="18" t="s">
        <v>25</v>
      </c>
    </row>
    <row r="80" spans="2:13" ht="19" customHeight="1">
      <c r="B80" s="19" t="s">
        <v>28</v>
      </c>
      <c r="C80" s="20">
        <v>8</v>
      </c>
    </row>
    <row r="81" spans="2:13" ht="19" customHeight="1">
      <c r="B81" s="21" t="s">
        <v>29</v>
      </c>
      <c r="C81" s="22">
        <v>2</v>
      </c>
    </row>
    <row r="96" spans="2:13" ht="27" customHeight="1">
      <c r="B96" s="6" t="s">
        <v>24</v>
      </c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</row>
    <row r="115" spans="2:13" ht="27" customHeight="1">
      <c r="B115" s="6" t="s">
        <v>30</v>
      </c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</row>
    <row r="134" spans="2:13" ht="27" customHeight="1">
      <c r="B134" s="6" t="s">
        <v>31</v>
      </c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</row>
    <row r="135" spans="2:13" ht="34" customHeight="1">
      <c r="B135" s="23"/>
      <c r="C135" s="24" t="s">
        <v>32</v>
      </c>
      <c r="D135" s="24"/>
      <c r="E135" s="24"/>
      <c r="F135" s="24"/>
      <c r="G135" s="24"/>
      <c r="H135" s="24"/>
      <c r="I135" s="24"/>
      <c r="J135" s="24"/>
      <c r="K135" s="24"/>
      <c r="L135" s="24"/>
      <c r="M135" s="24"/>
    </row>
    <row r="136" spans="2:13" ht="6" customHeight="1"/>
    <row r="137" spans="2:13" ht="34" customHeight="1">
      <c r="B137" s="23"/>
      <c r="C137" s="24" t="s">
        <v>33</v>
      </c>
      <c r="D137" s="24"/>
      <c r="E137" s="24"/>
      <c r="F137" s="24"/>
      <c r="G137" s="24"/>
      <c r="H137" s="24"/>
      <c r="I137" s="24"/>
      <c r="J137" s="24"/>
      <c r="K137" s="24"/>
      <c r="L137" s="24"/>
      <c r="M137" s="24"/>
    </row>
    <row r="138" spans="2:13" ht="6" customHeight="1"/>
    <row r="139" spans="2:13" ht="34" customHeight="1">
      <c r="B139" s="23"/>
      <c r="C139" s="24" t="s">
        <v>34</v>
      </c>
      <c r="D139" s="24"/>
      <c r="E139" s="24"/>
      <c r="F139" s="24"/>
      <c r="G139" s="24"/>
      <c r="H139" s="24"/>
      <c r="I139" s="24"/>
      <c r="J139" s="24"/>
      <c r="K139" s="24"/>
      <c r="L139" s="24"/>
      <c r="M139" s="24"/>
    </row>
    <row r="140" spans="2:13" ht="6" customHeight="1"/>
  </sheetData>
  <mergeCells count="18">
    <mergeCell ref="B9:D9"/>
    <mergeCell ref="B10:D11"/>
    <mergeCell ref="B12:D12"/>
    <mergeCell ref="E9:G9"/>
    <mergeCell ref="E10:G11"/>
    <mergeCell ref="E12:G12"/>
    <mergeCell ref="H9:J9"/>
    <mergeCell ref="H10:J11"/>
    <mergeCell ref="H12:J12"/>
    <mergeCell ref="K9:M9"/>
    <mergeCell ref="K10:M11"/>
    <mergeCell ref="K12:M12"/>
    <mergeCell ref="B14:M14"/>
    <mergeCell ref="B15:M16"/>
    <mergeCell ref="B17:M17"/>
    <mergeCell ref="C135:M135"/>
    <mergeCell ref="C137:M137"/>
    <mergeCell ref="C139:M139"/>
  </mergeCells>
  <printOptions horizontalCentered="1"/>
  <pageMargins left="0.35" right="0.35" top="0.6" bottom="0.55" header="0.3" footer="0.3"/>
  <pageSetup paperSize="9" orientation="landscape"/>
  <headerFooter>
    <oddHeader>&amp;L&amp;"Century Gothic,Bold"&amp;9&amp;K512F8DMinisterio de Trabajo y Desarrollo Humano&amp;R&amp;"Calibri,Regular"&amp;9&amp;K5A5765Del 14/09/2026 al 26/10/2026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F8C018"/>
    <pageSetUpPr fitToPage="1"/>
  </sheetPr>
  <dimension ref="A1:E50"/>
  <sheetViews>
    <sheetView showGridLines="0" workbookViewId="0"/>
  </sheetViews>
  <sheetFormatPr defaultRowHeight="15"/>
  <cols>
    <col min="1" max="1" width="3.140625" customWidth="1"/>
    <col min="2" max="2" width="22.7109375" customWidth="1"/>
    <col min="3" max="4" width="25.7109375" customWidth="1"/>
    <col min="5" max="5" width="3.140625" customWidth="1"/>
  </cols>
  <sheetData>
    <row r="1" spans="1:5" ht="12" customHeight="1">
      <c r="A1" s="1"/>
      <c r="B1" s="1"/>
      <c r="C1" s="1"/>
      <c r="D1" s="1"/>
      <c r="E1" s="1"/>
    </row>
    <row r="2" spans="1:5" ht="40" customHeight="1">
      <c r="A2" s="1"/>
      <c r="B2" s="2" t="s">
        <v>35</v>
      </c>
      <c r="C2" s="1"/>
      <c r="D2" s="1"/>
      <c r="E2" s="1"/>
    </row>
    <row r="3" spans="1:5" ht="22" customHeight="1">
      <c r="A3" s="1"/>
      <c r="B3" s="3" t="s">
        <v>1</v>
      </c>
      <c r="C3" s="1"/>
      <c r="D3" s="1"/>
      <c r="E3" s="1"/>
    </row>
    <row r="4" spans="1:5" ht="20" customHeight="1">
      <c r="A4" s="1"/>
      <c r="B4" s="4" t="s">
        <v>2</v>
      </c>
      <c r="C4" s="1"/>
      <c r="D4" s="1"/>
      <c r="E4" s="1"/>
    </row>
    <row r="5" spans="1:5" ht="5" customHeight="1">
      <c r="A5" s="5"/>
      <c r="B5" s="5"/>
      <c r="C5" s="5"/>
      <c r="D5" s="5"/>
      <c r="E5" s="5"/>
    </row>
    <row r="6" spans="1:5" ht="27" customHeight="1">
      <c r="B6" s="6" t="s">
        <v>36</v>
      </c>
      <c r="C6" s="7"/>
      <c r="D6" s="7"/>
    </row>
    <row r="7" spans="1:5" ht="36" customHeight="1">
      <c r="B7" s="17" t="s">
        <v>37</v>
      </c>
      <c r="C7" s="18" t="s">
        <v>38</v>
      </c>
      <c r="D7" s="18" t="s">
        <v>39</v>
      </c>
    </row>
    <row r="8" spans="1:5" ht="19" customHeight="1">
      <c r="B8" s="19" t="s">
        <v>40</v>
      </c>
      <c r="C8" s="20">
        <v>0</v>
      </c>
      <c r="D8" s="20">
        <v>0</v>
      </c>
    </row>
    <row r="9" spans="1:5" ht="19" customHeight="1">
      <c r="B9" s="21" t="s">
        <v>41</v>
      </c>
      <c r="C9" s="22">
        <v>0</v>
      </c>
      <c r="D9" s="22">
        <v>0</v>
      </c>
    </row>
    <row r="10" spans="1:5" ht="19" customHeight="1">
      <c r="B10" s="19" t="s">
        <v>42</v>
      </c>
      <c r="C10" s="20">
        <v>0</v>
      </c>
      <c r="D10" s="20">
        <v>0</v>
      </c>
    </row>
    <row r="11" spans="1:5" ht="19" customHeight="1">
      <c r="B11" s="21" t="s">
        <v>43</v>
      </c>
      <c r="C11" s="22">
        <v>0</v>
      </c>
      <c r="D11" s="22">
        <v>0</v>
      </c>
    </row>
    <row r="12" spans="1:5" ht="19" customHeight="1">
      <c r="B12" s="19" t="s">
        <v>44</v>
      </c>
      <c r="C12" s="20">
        <v>0</v>
      </c>
      <c r="D12" s="20">
        <v>0</v>
      </c>
    </row>
    <row r="13" spans="1:5" ht="19" customHeight="1">
      <c r="B13" s="21" t="s">
        <v>45</v>
      </c>
      <c r="C13" s="22">
        <v>0</v>
      </c>
      <c r="D13" s="22">
        <v>0</v>
      </c>
    </row>
    <row r="14" spans="1:5" ht="19" customHeight="1">
      <c r="B14" s="19" t="s">
        <v>46</v>
      </c>
      <c r="C14" s="20">
        <v>0</v>
      </c>
      <c r="D14" s="20">
        <v>0</v>
      </c>
    </row>
    <row r="15" spans="1:5" ht="19" customHeight="1">
      <c r="B15" s="21" t="s">
        <v>47</v>
      </c>
      <c r="C15" s="22">
        <v>0</v>
      </c>
      <c r="D15" s="22">
        <v>0</v>
      </c>
    </row>
    <row r="16" spans="1:5" ht="19" customHeight="1">
      <c r="B16" s="19" t="s">
        <v>48</v>
      </c>
      <c r="C16" s="20">
        <v>0</v>
      </c>
      <c r="D16" s="20">
        <v>0</v>
      </c>
    </row>
    <row r="17" spans="2:4" ht="19" customHeight="1">
      <c r="B17" s="21" t="s">
        <v>49</v>
      </c>
      <c r="C17" s="22">
        <v>0</v>
      </c>
      <c r="D17" s="22">
        <v>0</v>
      </c>
    </row>
    <row r="18" spans="2:4" ht="19" customHeight="1">
      <c r="B18" s="19" t="s">
        <v>50</v>
      </c>
      <c r="C18" s="20">
        <v>0</v>
      </c>
      <c r="D18" s="20">
        <v>0</v>
      </c>
    </row>
    <row r="19" spans="2:4" ht="19" customHeight="1">
      <c r="B19" s="21" t="s">
        <v>51</v>
      </c>
      <c r="C19" s="22">
        <v>0</v>
      </c>
      <c r="D19" s="22">
        <v>0</v>
      </c>
    </row>
    <row r="20" spans="2:4" ht="19" customHeight="1">
      <c r="B20" s="19" t="s">
        <v>52</v>
      </c>
      <c r="C20" s="20">
        <v>0</v>
      </c>
      <c r="D20" s="20">
        <v>0</v>
      </c>
    </row>
    <row r="21" spans="2:4" ht="19" customHeight="1">
      <c r="B21" s="21" t="s">
        <v>53</v>
      </c>
      <c r="C21" s="22">
        <v>0</v>
      </c>
      <c r="D21" s="22">
        <v>0</v>
      </c>
    </row>
    <row r="22" spans="2:4" ht="19" customHeight="1">
      <c r="B22" s="19" t="s">
        <v>54</v>
      </c>
      <c r="C22" s="20">
        <v>0</v>
      </c>
      <c r="D22" s="20">
        <v>0</v>
      </c>
    </row>
    <row r="23" spans="2:4" ht="19" customHeight="1">
      <c r="B23" s="21" t="s">
        <v>55</v>
      </c>
      <c r="C23" s="22">
        <v>0</v>
      </c>
      <c r="D23" s="22">
        <v>0</v>
      </c>
    </row>
    <row r="24" spans="2:4" ht="19" customHeight="1">
      <c r="B24" s="19" t="s">
        <v>56</v>
      </c>
      <c r="C24" s="20">
        <v>0</v>
      </c>
      <c r="D24" s="20">
        <v>0</v>
      </c>
    </row>
    <row r="25" spans="2:4" ht="19" customHeight="1">
      <c r="B25" s="21" t="s">
        <v>57</v>
      </c>
      <c r="C25" s="22">
        <v>0</v>
      </c>
      <c r="D25" s="22">
        <v>0</v>
      </c>
    </row>
    <row r="26" spans="2:4" ht="19" customHeight="1">
      <c r="B26" s="19" t="s">
        <v>58</v>
      </c>
      <c r="C26" s="20">
        <v>0</v>
      </c>
      <c r="D26" s="20">
        <v>0</v>
      </c>
    </row>
    <row r="27" spans="2:4" ht="19" customHeight="1">
      <c r="B27" s="21" t="s">
        <v>59</v>
      </c>
      <c r="C27" s="22">
        <v>0</v>
      </c>
      <c r="D27" s="22">
        <v>0</v>
      </c>
    </row>
    <row r="28" spans="2:4" ht="19" customHeight="1">
      <c r="B28" s="19" t="s">
        <v>60</v>
      </c>
      <c r="C28" s="20">
        <v>0</v>
      </c>
      <c r="D28" s="20">
        <v>0</v>
      </c>
    </row>
    <row r="29" spans="2:4" ht="19" customHeight="1">
      <c r="B29" s="21" t="s">
        <v>61</v>
      </c>
      <c r="C29" s="22">
        <v>0</v>
      </c>
      <c r="D29" s="22">
        <v>0</v>
      </c>
    </row>
    <row r="30" spans="2:4" ht="19" customHeight="1">
      <c r="B30" s="19" t="s">
        <v>62</v>
      </c>
      <c r="C30" s="20">
        <v>0</v>
      </c>
      <c r="D30" s="20">
        <v>0</v>
      </c>
    </row>
    <row r="31" spans="2:4" ht="19" customHeight="1">
      <c r="B31" s="21" t="s">
        <v>63</v>
      </c>
      <c r="C31" s="22">
        <v>0</v>
      </c>
      <c r="D31" s="22">
        <v>0</v>
      </c>
    </row>
    <row r="32" spans="2:4" ht="19" customHeight="1">
      <c r="B32" s="19" t="s">
        <v>64</v>
      </c>
      <c r="C32" s="20">
        <v>0</v>
      </c>
      <c r="D32" s="20">
        <v>0</v>
      </c>
    </row>
    <row r="33" spans="2:4" ht="19" customHeight="1">
      <c r="B33" s="21" t="s">
        <v>65</v>
      </c>
      <c r="C33" s="22">
        <v>0</v>
      </c>
      <c r="D33" s="22">
        <v>0</v>
      </c>
    </row>
    <row r="34" spans="2:4" ht="19" customHeight="1">
      <c r="B34" s="19" t="s">
        <v>66</v>
      </c>
      <c r="C34" s="20">
        <v>0</v>
      </c>
      <c r="D34" s="20">
        <v>0</v>
      </c>
    </row>
    <row r="35" spans="2:4" ht="19" customHeight="1">
      <c r="B35" s="21" t="s">
        <v>67</v>
      </c>
      <c r="C35" s="22">
        <v>0</v>
      </c>
      <c r="D35" s="22">
        <v>0</v>
      </c>
    </row>
    <row r="36" spans="2:4" ht="19" customHeight="1">
      <c r="B36" s="19" t="s">
        <v>68</v>
      </c>
      <c r="C36" s="20">
        <v>0</v>
      </c>
      <c r="D36" s="20">
        <v>0</v>
      </c>
    </row>
    <row r="37" spans="2:4" ht="19" customHeight="1">
      <c r="B37" s="21" t="s">
        <v>69</v>
      </c>
      <c r="C37" s="22">
        <v>0</v>
      </c>
      <c r="D37" s="22">
        <v>0</v>
      </c>
    </row>
    <row r="38" spans="2:4" ht="19" customHeight="1">
      <c r="B38" s="19" t="s">
        <v>70</v>
      </c>
      <c r="C38" s="20">
        <v>0</v>
      </c>
      <c r="D38" s="20">
        <v>0</v>
      </c>
    </row>
    <row r="39" spans="2:4" ht="19" customHeight="1">
      <c r="B39" s="21" t="s">
        <v>71</v>
      </c>
      <c r="C39" s="22">
        <v>0</v>
      </c>
      <c r="D39" s="22">
        <v>0</v>
      </c>
    </row>
    <row r="40" spans="2:4" ht="19" customHeight="1">
      <c r="B40" s="19" t="s">
        <v>72</v>
      </c>
      <c r="C40" s="20">
        <v>2</v>
      </c>
      <c r="D40" s="20">
        <v>2</v>
      </c>
    </row>
    <row r="41" spans="2:4" ht="19" customHeight="1">
      <c r="B41" s="21" t="s">
        <v>73</v>
      </c>
      <c r="C41" s="22">
        <v>0</v>
      </c>
      <c r="D41" s="22">
        <v>2</v>
      </c>
    </row>
    <row r="42" spans="2:4" ht="19" customHeight="1">
      <c r="B42" s="19" t="s">
        <v>74</v>
      </c>
      <c r="C42" s="20">
        <v>0</v>
      </c>
      <c r="D42" s="20">
        <v>2</v>
      </c>
    </row>
    <row r="43" spans="2:4" ht="19" customHeight="1">
      <c r="B43" s="21" t="s">
        <v>75</v>
      </c>
      <c r="C43" s="22">
        <v>2</v>
      </c>
      <c r="D43" s="22">
        <v>4</v>
      </c>
    </row>
    <row r="44" spans="2:4" ht="19" customHeight="1">
      <c r="B44" s="19" t="s">
        <v>76</v>
      </c>
      <c r="C44" s="20">
        <v>6</v>
      </c>
      <c r="D44" s="20">
        <v>10</v>
      </c>
    </row>
    <row r="45" spans="2:4" ht="19" customHeight="1">
      <c r="B45" s="21" t="s">
        <v>77</v>
      </c>
      <c r="C45" s="22">
        <v>0</v>
      </c>
      <c r="D45" s="22">
        <v>10</v>
      </c>
    </row>
    <row r="46" spans="2:4" ht="19" customHeight="1">
      <c r="B46" s="19" t="s">
        <v>78</v>
      </c>
      <c r="C46" s="20">
        <v>0</v>
      </c>
      <c r="D46" s="20">
        <v>10</v>
      </c>
    </row>
    <row r="47" spans="2:4" ht="19" customHeight="1">
      <c r="B47" s="21" t="s">
        <v>79</v>
      </c>
      <c r="C47" s="22">
        <v>0</v>
      </c>
      <c r="D47" s="22">
        <v>10</v>
      </c>
    </row>
    <row r="48" spans="2:4" ht="19" customHeight="1">
      <c r="B48" s="19" t="s">
        <v>80</v>
      </c>
      <c r="C48" s="20">
        <v>0</v>
      </c>
      <c r="D48" s="20">
        <v>10</v>
      </c>
    </row>
    <row r="49" spans="2:4" ht="19" customHeight="1">
      <c r="B49" s="21" t="s">
        <v>81</v>
      </c>
      <c r="C49" s="22">
        <v>0</v>
      </c>
      <c r="D49" s="22">
        <v>10</v>
      </c>
    </row>
    <row r="50" spans="2:4" ht="19" customHeight="1">
      <c r="B50" s="19" t="s">
        <v>82</v>
      </c>
      <c r="C50" s="20">
        <v>0</v>
      </c>
      <c r="D50" s="20">
        <v>10</v>
      </c>
    </row>
  </sheetData>
  <autoFilter ref="B7:D50"/>
  <printOptions horizontalCentered="1"/>
  <pageMargins left="0.35" right="0.35" top="0.6" bottom="0.55" header="0.3" footer="0.3"/>
  <pageSetup paperSize="9" fitToHeight="0" orientation="landscape"/>
  <headerFooter>
    <oddHeader>&amp;L&amp;"Century Gothic,Bold"&amp;9&amp;K512F8DMinisterio de Trabajo y Desarrollo Humano&amp;R&amp;"Calibri,Regular"&amp;9&amp;K5A5765Del 14/09/2026 al 26/10/2026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8C018"/>
    <pageSetUpPr fitToPage="1"/>
  </sheetPr>
  <dimension ref="A1:L17"/>
  <sheetViews>
    <sheetView showGridLines="0" workbookViewId="0"/>
  </sheetViews>
  <sheetFormatPr defaultRowHeight="15"/>
  <cols>
    <col min="1" max="1" width="3.140625" customWidth="1"/>
    <col min="2" max="2" width="24.7109375" customWidth="1"/>
    <col min="3" max="3" width="16.7109375" customWidth="1"/>
    <col min="4" max="5" width="22.7109375" customWidth="1"/>
    <col min="6" max="6" width="18.7109375" customWidth="1"/>
    <col min="7" max="7" width="60.7109375" customWidth="1"/>
    <col min="8" max="8" width="38.7109375" customWidth="1"/>
    <col min="9" max="9" width="80.7109375" customWidth="1"/>
    <col min="10" max="10" width="24.7109375" customWidth="1"/>
    <col min="11" max="11" width="16.7109375" customWidth="1"/>
    <col min="12" max="12" width="3.140625" customWidth="1"/>
  </cols>
  <sheetData>
    <row r="1" spans="1:12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40" customHeight="1">
      <c r="A2" s="1"/>
      <c r="B2" s="2" t="s">
        <v>5</v>
      </c>
      <c r="C2" s="1"/>
      <c r="D2" s="1"/>
      <c r="E2" s="1"/>
      <c r="F2" s="1"/>
      <c r="G2" s="1"/>
      <c r="H2" s="1"/>
      <c r="I2" s="1"/>
      <c r="J2" s="1"/>
      <c r="K2" s="1"/>
      <c r="L2" s="1"/>
    </row>
    <row r="3" spans="1:12" ht="22" customHeight="1">
      <c r="A3" s="1"/>
      <c r="B3" s="3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</row>
    <row r="4" spans="1:12" ht="20" customHeight="1">
      <c r="A4" s="1"/>
      <c r="B4" s="4" t="s">
        <v>2</v>
      </c>
      <c r="C4" s="1"/>
      <c r="D4" s="1"/>
      <c r="E4" s="1"/>
      <c r="F4" s="1"/>
      <c r="G4" s="1"/>
      <c r="H4" s="1"/>
      <c r="I4" s="1"/>
      <c r="J4" s="1"/>
      <c r="K4" s="1"/>
      <c r="L4" s="1"/>
    </row>
    <row r="5" spans="1:12" ht="5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</row>
    <row r="6" spans="1:12" ht="27" customHeight="1">
      <c r="B6" s="6" t="s">
        <v>83</v>
      </c>
      <c r="C6" s="7"/>
      <c r="D6" s="7"/>
      <c r="E6" s="7"/>
      <c r="F6" s="7"/>
      <c r="G6" s="7"/>
      <c r="H6" s="7"/>
      <c r="I6" s="7"/>
      <c r="J6" s="7"/>
      <c r="K6" s="8" t="s">
        <v>32</v>
      </c>
    </row>
    <row r="7" spans="1:12" ht="36" customHeight="1">
      <c r="B7" s="17" t="s">
        <v>84</v>
      </c>
      <c r="C7" s="25" t="s">
        <v>85</v>
      </c>
      <c r="D7" s="25" t="s">
        <v>86</v>
      </c>
      <c r="E7" s="25" t="s">
        <v>87</v>
      </c>
      <c r="F7" s="25" t="s">
        <v>88</v>
      </c>
      <c r="G7" s="25" t="s">
        <v>89</v>
      </c>
      <c r="H7" s="25" t="s">
        <v>90</v>
      </c>
      <c r="I7" s="25" t="s">
        <v>91</v>
      </c>
      <c r="J7" s="25" t="s">
        <v>92</v>
      </c>
      <c r="K7" s="25" t="s">
        <v>93</v>
      </c>
    </row>
    <row r="8" spans="1:12" ht="48" customHeight="1">
      <c r="B8" s="19" t="s">
        <v>94</v>
      </c>
      <c r="C8" s="26" t="s">
        <v>76</v>
      </c>
      <c r="D8" s="26" t="s">
        <v>19</v>
      </c>
      <c r="E8" s="26" t="s">
        <v>95</v>
      </c>
      <c r="F8" s="26" t="s">
        <v>96</v>
      </c>
      <c r="G8" s="26" t="s">
        <v>97</v>
      </c>
      <c r="H8" s="26" t="s">
        <v>28</v>
      </c>
      <c r="I8" s="26" t="s">
        <v>98</v>
      </c>
      <c r="J8" s="26" t="s">
        <v>99</v>
      </c>
      <c r="K8" s="26" t="s">
        <v>100</v>
      </c>
    </row>
    <row r="9" spans="1:12" ht="48" customHeight="1">
      <c r="B9" s="21" t="s">
        <v>101</v>
      </c>
      <c r="C9" s="27" t="s">
        <v>76</v>
      </c>
      <c r="D9" s="27" t="s">
        <v>19</v>
      </c>
      <c r="E9" s="27" t="s">
        <v>95</v>
      </c>
      <c r="F9" s="27" t="s">
        <v>102</v>
      </c>
      <c r="G9" s="27" t="s">
        <v>103</v>
      </c>
      <c r="H9" s="27" t="s">
        <v>28</v>
      </c>
      <c r="I9" s="27" t="s">
        <v>104</v>
      </c>
      <c r="J9" s="27" t="s">
        <v>99</v>
      </c>
      <c r="K9" s="27" t="s">
        <v>100</v>
      </c>
    </row>
    <row r="10" spans="1:12" ht="48" customHeight="1">
      <c r="B10" s="19" t="s">
        <v>105</v>
      </c>
      <c r="C10" s="26" t="s">
        <v>76</v>
      </c>
      <c r="D10" s="26" t="s">
        <v>19</v>
      </c>
      <c r="E10" s="26" t="s">
        <v>95</v>
      </c>
      <c r="F10" s="26" t="s">
        <v>106</v>
      </c>
      <c r="G10" s="26" t="s">
        <v>107</v>
      </c>
      <c r="H10" s="26" t="s">
        <v>28</v>
      </c>
      <c r="I10" s="26" t="s">
        <v>108</v>
      </c>
      <c r="J10" s="26" t="s">
        <v>99</v>
      </c>
      <c r="K10" s="26" t="s">
        <v>100</v>
      </c>
    </row>
    <row r="11" spans="1:12" ht="48" customHeight="1">
      <c r="B11" s="21" t="s">
        <v>109</v>
      </c>
      <c r="C11" s="27" t="s">
        <v>76</v>
      </c>
      <c r="D11" s="27" t="s">
        <v>19</v>
      </c>
      <c r="E11" s="27" t="s">
        <v>95</v>
      </c>
      <c r="F11" s="27" t="s">
        <v>110</v>
      </c>
      <c r="G11" s="27" t="s">
        <v>111</v>
      </c>
      <c r="H11" s="27" t="s">
        <v>28</v>
      </c>
      <c r="I11" s="27" t="s">
        <v>112</v>
      </c>
      <c r="J11" s="27" t="s">
        <v>99</v>
      </c>
      <c r="K11" s="27" t="s">
        <v>100</v>
      </c>
    </row>
    <row r="12" spans="1:12" ht="48" customHeight="1">
      <c r="B12" s="19" t="s">
        <v>113</v>
      </c>
      <c r="C12" s="26" t="s">
        <v>76</v>
      </c>
      <c r="D12" s="26" t="s">
        <v>18</v>
      </c>
      <c r="E12" s="26" t="s">
        <v>114</v>
      </c>
      <c r="F12" s="26" t="s">
        <v>115</v>
      </c>
      <c r="G12" s="26" t="s">
        <v>116</v>
      </c>
      <c r="H12" s="26" t="s">
        <v>28</v>
      </c>
      <c r="I12" s="26" t="s">
        <v>117</v>
      </c>
      <c r="J12" s="26" t="s">
        <v>118</v>
      </c>
      <c r="K12" s="26" t="s">
        <v>100</v>
      </c>
    </row>
    <row r="13" spans="1:12" ht="48" customHeight="1">
      <c r="B13" s="21" t="s">
        <v>119</v>
      </c>
      <c r="C13" s="27" t="s">
        <v>76</v>
      </c>
      <c r="D13" s="27" t="s">
        <v>18</v>
      </c>
      <c r="E13" s="27" t="s">
        <v>114</v>
      </c>
      <c r="F13" s="27" t="s">
        <v>120</v>
      </c>
      <c r="G13" s="27" t="s">
        <v>121</v>
      </c>
      <c r="H13" s="27" t="s">
        <v>28</v>
      </c>
      <c r="I13" s="27" t="s">
        <v>117</v>
      </c>
      <c r="J13" s="27" t="s">
        <v>118</v>
      </c>
      <c r="K13" s="27" t="s">
        <v>100</v>
      </c>
    </row>
    <row r="14" spans="1:12" ht="48" customHeight="1">
      <c r="B14" s="19" t="s">
        <v>122</v>
      </c>
      <c r="C14" s="26" t="s">
        <v>75</v>
      </c>
      <c r="D14" s="26" t="s">
        <v>19</v>
      </c>
      <c r="E14" s="26" t="s">
        <v>123</v>
      </c>
      <c r="F14" s="26" t="s">
        <v>124</v>
      </c>
      <c r="G14" s="26" t="s">
        <v>125</v>
      </c>
      <c r="H14" s="26" t="s">
        <v>28</v>
      </c>
      <c r="I14" s="26" t="s">
        <v>126</v>
      </c>
      <c r="J14" s="26" t="s">
        <v>99</v>
      </c>
      <c r="K14" s="26" t="s">
        <v>100</v>
      </c>
    </row>
    <row r="15" spans="1:12" ht="48" customHeight="1">
      <c r="B15" s="21" t="s">
        <v>127</v>
      </c>
      <c r="C15" s="27" t="s">
        <v>75</v>
      </c>
      <c r="D15" s="27" t="s">
        <v>19</v>
      </c>
      <c r="E15" s="27" t="s">
        <v>123</v>
      </c>
      <c r="F15" s="27" t="s">
        <v>128</v>
      </c>
      <c r="G15" s="27" t="s">
        <v>129</v>
      </c>
      <c r="H15" s="27" t="s">
        <v>28</v>
      </c>
      <c r="I15" s="27" t="s">
        <v>126</v>
      </c>
      <c r="J15" s="27" t="s">
        <v>99</v>
      </c>
      <c r="K15" s="27" t="s">
        <v>100</v>
      </c>
    </row>
    <row r="16" spans="1:12" ht="48" customHeight="1">
      <c r="B16" s="19" t="s">
        <v>130</v>
      </c>
      <c r="C16" s="26" t="s">
        <v>72</v>
      </c>
      <c r="D16" s="26" t="s">
        <v>26</v>
      </c>
      <c r="E16" s="26" t="s">
        <v>131</v>
      </c>
      <c r="F16" s="26" t="s">
        <v>132</v>
      </c>
      <c r="G16" s="26" t="s">
        <v>133</v>
      </c>
      <c r="H16" s="26" t="s">
        <v>29</v>
      </c>
      <c r="I16" s="26" t="s">
        <v>134</v>
      </c>
      <c r="J16" s="26" t="s">
        <v>99</v>
      </c>
      <c r="K16" s="26" t="s">
        <v>100</v>
      </c>
    </row>
    <row r="17" spans="2:11" ht="48" customHeight="1">
      <c r="B17" s="21" t="s">
        <v>135</v>
      </c>
      <c r="C17" s="27" t="s">
        <v>72</v>
      </c>
      <c r="D17" s="27" t="s">
        <v>26</v>
      </c>
      <c r="E17" s="27" t="s">
        <v>131</v>
      </c>
      <c r="F17" s="27" t="s">
        <v>136</v>
      </c>
      <c r="G17" s="27" t="s">
        <v>137</v>
      </c>
      <c r="H17" s="27" t="s">
        <v>29</v>
      </c>
      <c r="I17" s="27" t="s">
        <v>134</v>
      </c>
      <c r="J17" s="27" t="s">
        <v>99</v>
      </c>
      <c r="K17" s="27" t="s">
        <v>100</v>
      </c>
    </row>
  </sheetData>
  <autoFilter ref="B7:K17"/>
  <printOptions horizontalCentered="1"/>
  <pageMargins left="0.35" right="0.35" top="0.6" bottom="0.55" header="0.3" footer="0.3"/>
  <pageSetup paperSize="9" fitToHeight="0" orientation="landscape"/>
  <headerFooter>
    <oddHeader>&amp;L&amp;"Century Gothic,Bold"&amp;9&amp;K512F8DMinisterio de Trabajo y Desarrollo Humano&amp;R&amp;"Calibri,Regular"&amp;9&amp;K5A5765Del 14/09/2026 al 26/10/2026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512F8D"/>
    <pageSetUpPr fitToPage="1"/>
  </sheetPr>
  <dimension ref="A1:I28"/>
  <sheetViews>
    <sheetView showGridLines="0" workbookViewId="0"/>
  </sheetViews>
  <sheetFormatPr defaultRowHeight="15"/>
  <cols>
    <col min="1" max="1" width="3.140625" customWidth="1"/>
    <col min="2" max="2" width="24.7109375" customWidth="1"/>
    <col min="3" max="3" width="55.7109375" customWidth="1"/>
    <col min="4" max="4" width="16.7109375" customWidth="1"/>
    <col min="5" max="5" width="25.7109375" customWidth="1"/>
    <col min="6" max="6" width="24.7109375" customWidth="1"/>
    <col min="7" max="7" width="27.7109375" customWidth="1"/>
    <col min="8" max="8" width="25.7109375" customWidth="1"/>
    <col min="9" max="9" width="3.140625" customWidth="1"/>
  </cols>
  <sheetData>
    <row r="1" spans="1:9" ht="12" customHeight="1">
      <c r="A1" s="1"/>
      <c r="B1" s="1"/>
      <c r="C1" s="1"/>
      <c r="D1" s="1"/>
      <c r="E1" s="1"/>
      <c r="F1" s="1"/>
      <c r="G1" s="1"/>
      <c r="H1" s="1"/>
      <c r="I1" s="1"/>
    </row>
    <row r="2" spans="1:9" ht="40" customHeight="1">
      <c r="A2" s="1"/>
      <c r="B2" s="2" t="s">
        <v>138</v>
      </c>
      <c r="C2" s="1"/>
      <c r="D2" s="1"/>
      <c r="E2" s="1"/>
      <c r="F2" s="1"/>
      <c r="G2" s="1"/>
      <c r="H2" s="1"/>
      <c r="I2" s="1"/>
    </row>
    <row r="3" spans="1:9" ht="22" customHeight="1">
      <c r="A3" s="1"/>
      <c r="B3" s="3" t="s">
        <v>1</v>
      </c>
      <c r="C3" s="1"/>
      <c r="D3" s="1"/>
      <c r="E3" s="1"/>
      <c r="F3" s="1"/>
      <c r="G3" s="1"/>
      <c r="H3" s="1"/>
      <c r="I3" s="1"/>
    </row>
    <row r="4" spans="1:9" ht="20" customHeight="1">
      <c r="A4" s="1"/>
      <c r="B4" s="4" t="s">
        <v>2</v>
      </c>
      <c r="C4" s="1"/>
      <c r="D4" s="1"/>
      <c r="E4" s="1"/>
      <c r="F4" s="1"/>
      <c r="G4" s="1"/>
      <c r="H4" s="1"/>
      <c r="I4" s="1"/>
    </row>
    <row r="5" spans="1:9" ht="5" customHeight="1">
      <c r="A5" s="5"/>
      <c r="B5" s="5"/>
      <c r="C5" s="5"/>
      <c r="D5" s="5"/>
      <c r="E5" s="5"/>
      <c r="F5" s="5"/>
      <c r="G5" s="5"/>
      <c r="H5" s="5"/>
      <c r="I5" s="5"/>
    </row>
    <row r="6" spans="1:9" ht="27" customHeight="1">
      <c r="B6" s="6" t="s">
        <v>139</v>
      </c>
      <c r="C6" s="7"/>
      <c r="D6" s="7"/>
      <c r="E6" s="7"/>
      <c r="F6" s="7"/>
      <c r="G6" s="7"/>
      <c r="H6" s="7"/>
    </row>
    <row r="7" spans="1:9" ht="36" customHeight="1">
      <c r="B7" s="17" t="s">
        <v>86</v>
      </c>
      <c r="C7" s="25" t="s">
        <v>140</v>
      </c>
      <c r="D7" s="18" t="s">
        <v>141</v>
      </c>
      <c r="E7" s="18" t="s">
        <v>142</v>
      </c>
      <c r="F7" s="18" t="s">
        <v>143</v>
      </c>
      <c r="G7" s="18" t="s">
        <v>144</v>
      </c>
      <c r="H7" s="18" t="s">
        <v>145</v>
      </c>
    </row>
    <row r="8" spans="1:9" ht="19" customHeight="1">
      <c r="B8" s="19" t="s">
        <v>146</v>
      </c>
      <c r="C8" s="26" t="s">
        <v>147</v>
      </c>
      <c r="D8" s="20">
        <v>527</v>
      </c>
      <c r="E8" s="20">
        <v>1</v>
      </c>
      <c r="F8" s="28">
        <v>303.99</v>
      </c>
      <c r="G8" s="20">
        <v>0</v>
      </c>
      <c r="H8" s="28">
        <v>0</v>
      </c>
    </row>
    <row r="9" spans="1:9" ht="19" customHeight="1">
      <c r="B9" s="21" t="s">
        <v>148</v>
      </c>
      <c r="C9" s="27" t="s">
        <v>149</v>
      </c>
      <c r="D9" s="22">
        <v>141</v>
      </c>
      <c r="E9" s="22">
        <v>0</v>
      </c>
      <c r="F9" s="29">
        <v>0</v>
      </c>
      <c r="G9" s="22">
        <v>0</v>
      </c>
      <c r="H9" s="29">
        <v>0</v>
      </c>
    </row>
    <row r="10" spans="1:9" ht="19" customHeight="1">
      <c r="B10" s="19" t="s">
        <v>150</v>
      </c>
      <c r="C10" s="26" t="s">
        <v>151</v>
      </c>
      <c r="D10" s="20">
        <v>780</v>
      </c>
      <c r="E10" s="20">
        <v>0</v>
      </c>
      <c r="F10" s="28">
        <v>0</v>
      </c>
      <c r="G10" s="20">
        <v>0</v>
      </c>
      <c r="H10" s="28">
        <v>0</v>
      </c>
    </row>
    <row r="11" spans="1:9" ht="19" customHeight="1">
      <c r="B11" s="21" t="s">
        <v>152</v>
      </c>
      <c r="C11" s="27" t="s">
        <v>153</v>
      </c>
      <c r="D11" s="22">
        <v>7</v>
      </c>
      <c r="E11" s="22">
        <v>0</v>
      </c>
      <c r="F11" s="29">
        <v>0</v>
      </c>
      <c r="G11" s="22">
        <v>0</v>
      </c>
      <c r="H11" s="29">
        <v>0</v>
      </c>
    </row>
    <row r="12" spans="1:9" ht="19" customHeight="1">
      <c r="B12" s="19" t="s">
        <v>154</v>
      </c>
      <c r="C12" s="26" t="s">
        <v>155</v>
      </c>
      <c r="D12" s="20">
        <v>250</v>
      </c>
      <c r="E12" s="20">
        <v>0</v>
      </c>
      <c r="F12" s="28">
        <v>0</v>
      </c>
      <c r="G12" s="20">
        <v>0</v>
      </c>
      <c r="H12" s="28">
        <v>0</v>
      </c>
    </row>
    <row r="13" spans="1:9" ht="19" customHeight="1">
      <c r="B13" s="21" t="s">
        <v>18</v>
      </c>
      <c r="C13" s="27" t="s">
        <v>156</v>
      </c>
      <c r="D13" s="22">
        <v>66</v>
      </c>
      <c r="E13" s="22">
        <v>0</v>
      </c>
      <c r="F13" s="29">
        <v>0</v>
      </c>
      <c r="G13" s="22">
        <v>181</v>
      </c>
      <c r="H13" s="29">
        <v>55022.19</v>
      </c>
    </row>
    <row r="14" spans="1:9" ht="19" customHeight="1">
      <c r="B14" s="19" t="s">
        <v>157</v>
      </c>
      <c r="C14" s="26" t="s">
        <v>158</v>
      </c>
      <c r="D14" s="20">
        <v>3820</v>
      </c>
      <c r="E14" s="20">
        <v>0</v>
      </c>
      <c r="F14" s="28">
        <v>0</v>
      </c>
      <c r="G14" s="20">
        <v>530</v>
      </c>
      <c r="H14" s="28">
        <v>160558.2</v>
      </c>
    </row>
    <row r="15" spans="1:9" ht="19" customHeight="1">
      <c r="B15" s="21" t="s">
        <v>19</v>
      </c>
      <c r="C15" s="27" t="s">
        <v>159</v>
      </c>
      <c r="D15" s="22">
        <v>6850</v>
      </c>
      <c r="E15" s="22">
        <v>67</v>
      </c>
      <c r="F15" s="29">
        <v>19264.51</v>
      </c>
      <c r="G15" s="22">
        <v>344</v>
      </c>
      <c r="H15" s="29">
        <v>104246.01</v>
      </c>
    </row>
    <row r="16" spans="1:9" ht="19" customHeight="1">
      <c r="B16" s="19" t="s">
        <v>160</v>
      </c>
      <c r="C16" s="26" t="s">
        <v>161</v>
      </c>
      <c r="D16" s="20">
        <v>498</v>
      </c>
      <c r="E16" s="20">
        <v>0</v>
      </c>
      <c r="F16" s="28">
        <v>0</v>
      </c>
      <c r="G16" s="20">
        <v>5</v>
      </c>
      <c r="H16" s="28">
        <v>1519.95</v>
      </c>
    </row>
    <row r="17" spans="2:8" ht="19" customHeight="1">
      <c r="B17" s="21" t="s">
        <v>162</v>
      </c>
      <c r="C17" s="27" t="s">
        <v>163</v>
      </c>
      <c r="D17" s="22">
        <v>79</v>
      </c>
      <c r="E17" s="22">
        <v>0</v>
      </c>
      <c r="F17" s="29">
        <v>0</v>
      </c>
      <c r="G17" s="22">
        <v>0</v>
      </c>
      <c r="H17" s="29">
        <v>0</v>
      </c>
    </row>
    <row r="18" spans="2:8" ht="19" customHeight="1">
      <c r="B18" s="19" t="s">
        <v>164</v>
      </c>
      <c r="C18" s="26" t="s">
        <v>165</v>
      </c>
      <c r="D18" s="20">
        <v>64</v>
      </c>
      <c r="E18" s="20">
        <v>0</v>
      </c>
      <c r="F18" s="28">
        <v>0</v>
      </c>
      <c r="G18" s="20">
        <v>109</v>
      </c>
      <c r="H18" s="28">
        <v>33033.06</v>
      </c>
    </row>
    <row r="19" spans="2:8" ht="19" customHeight="1">
      <c r="B19" s="21" t="s">
        <v>26</v>
      </c>
      <c r="C19" s="27" t="s">
        <v>166</v>
      </c>
      <c r="D19" s="22">
        <v>75</v>
      </c>
      <c r="E19" s="22">
        <v>45</v>
      </c>
      <c r="F19" s="29">
        <v>13632.3</v>
      </c>
      <c r="G19" s="22">
        <v>0</v>
      </c>
      <c r="H19" s="29">
        <v>0</v>
      </c>
    </row>
    <row r="20" spans="2:8" ht="19" customHeight="1">
      <c r="B20" s="19" t="s">
        <v>167</v>
      </c>
      <c r="C20" s="26" t="s">
        <v>168</v>
      </c>
      <c r="D20" s="20">
        <v>60</v>
      </c>
      <c r="E20" s="20">
        <v>0</v>
      </c>
      <c r="F20" s="28">
        <v>0</v>
      </c>
      <c r="G20" s="20">
        <v>0</v>
      </c>
      <c r="H20" s="28">
        <v>0</v>
      </c>
    </row>
    <row r="21" spans="2:8" ht="19" customHeight="1">
      <c r="B21" s="21" t="s">
        <v>169</v>
      </c>
      <c r="C21" s="27" t="s">
        <v>170</v>
      </c>
      <c r="D21" s="22">
        <v>7</v>
      </c>
      <c r="E21" s="22">
        <v>0</v>
      </c>
      <c r="F21" s="29">
        <v>0</v>
      </c>
      <c r="G21" s="22">
        <v>0</v>
      </c>
      <c r="H21" s="29">
        <v>0</v>
      </c>
    </row>
    <row r="22" spans="2:8" ht="19" customHeight="1">
      <c r="B22" s="19" t="s">
        <v>171</v>
      </c>
      <c r="C22" s="26" t="s">
        <v>172</v>
      </c>
      <c r="D22" s="20">
        <v>64</v>
      </c>
      <c r="E22" s="20">
        <v>0</v>
      </c>
      <c r="F22" s="28">
        <v>0</v>
      </c>
      <c r="G22" s="20">
        <v>0</v>
      </c>
      <c r="H22" s="28">
        <v>0</v>
      </c>
    </row>
    <row r="23" spans="2:8" ht="19" customHeight="1">
      <c r="B23" s="21" t="s">
        <v>20</v>
      </c>
      <c r="C23" s="27" t="s">
        <v>173</v>
      </c>
      <c r="D23" s="22">
        <v>13</v>
      </c>
      <c r="E23" s="22">
        <v>0</v>
      </c>
      <c r="F23" s="29">
        <v>0</v>
      </c>
      <c r="G23" s="22">
        <v>0</v>
      </c>
      <c r="H23" s="29">
        <v>0</v>
      </c>
    </row>
    <row r="24" spans="2:8" ht="19" customHeight="1">
      <c r="B24" s="19" t="s">
        <v>174</v>
      </c>
      <c r="C24" s="26" t="s">
        <v>175</v>
      </c>
      <c r="D24" s="20">
        <v>17</v>
      </c>
      <c r="E24" s="20">
        <v>0</v>
      </c>
      <c r="F24" s="28">
        <v>0</v>
      </c>
      <c r="G24" s="20">
        <v>0</v>
      </c>
      <c r="H24" s="28">
        <v>0</v>
      </c>
    </row>
    <row r="25" spans="2:8" ht="19" customHeight="1">
      <c r="B25" s="21" t="s">
        <v>176</v>
      </c>
      <c r="C25" s="27" t="s">
        <v>177</v>
      </c>
      <c r="D25" s="22">
        <v>44</v>
      </c>
      <c r="E25" s="22">
        <v>0</v>
      </c>
      <c r="F25" s="29">
        <v>0</v>
      </c>
      <c r="G25" s="22">
        <v>0</v>
      </c>
      <c r="H25" s="29">
        <v>0</v>
      </c>
    </row>
    <row r="26" spans="2:8" ht="19" customHeight="1">
      <c r="B26" s="19" t="s">
        <v>178</v>
      </c>
      <c r="C26" s="26" t="s">
        <v>179</v>
      </c>
      <c r="D26" s="20">
        <v>17</v>
      </c>
      <c r="E26" s="20">
        <v>0</v>
      </c>
      <c r="F26" s="28">
        <v>0</v>
      </c>
      <c r="G26" s="20">
        <v>0</v>
      </c>
      <c r="H26" s="28">
        <v>0</v>
      </c>
    </row>
    <row r="27" spans="2:8" ht="19" customHeight="1">
      <c r="B27" s="21" t="s">
        <v>180</v>
      </c>
      <c r="C27" s="27" t="s">
        <v>181</v>
      </c>
      <c r="D27" s="22">
        <v>11</v>
      </c>
      <c r="E27" s="22">
        <v>0</v>
      </c>
      <c r="F27" s="29">
        <v>0</v>
      </c>
      <c r="G27" s="22">
        <v>0</v>
      </c>
      <c r="H27" s="29">
        <v>0</v>
      </c>
    </row>
    <row r="28" spans="2:8" ht="22" customHeight="1">
      <c r="B28" s="30" t="s">
        <v>182</v>
      </c>
      <c r="C28" s="31"/>
      <c r="D28" s="32">
        <f>SUM(D8:D27)</f>
        <v>13390</v>
      </c>
      <c r="E28" s="32">
        <f>SUM(E8:E27)</f>
        <v>113</v>
      </c>
      <c r="F28" s="33">
        <f>SUM(F8:F27)</f>
        <v>33200.799999999996</v>
      </c>
      <c r="G28" s="32">
        <f>SUM(G8:G27)</f>
        <v>1169</v>
      </c>
      <c r="H28" s="33">
        <f>SUM(H8:H27)</f>
        <v>354379.41000000003</v>
      </c>
    </row>
  </sheetData>
  <printOptions horizontalCentered="1"/>
  <pageMargins left="0.35" right="0.35" top="0.6" bottom="0.55" header="0.3" footer="0.3"/>
  <pageSetup paperSize="9" fitToHeight="0" orientation="landscape"/>
  <headerFooter>
    <oddHeader>&amp;L&amp;"Century Gothic,Bold"&amp;9&amp;K512F8DMinisterio de Trabajo y Desarrollo Humano&amp;R&amp;"Calibri,Regular"&amp;9&amp;K5A5765Del 14/09/2026 al 26/10/2026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7657B9"/>
    <pageSetUpPr fitToPage="1"/>
  </sheetPr>
  <dimension ref="A1:H102"/>
  <sheetViews>
    <sheetView showGridLines="0" workbookViewId="0"/>
  </sheetViews>
  <sheetFormatPr defaultRowHeight="15"/>
  <cols>
    <col min="1" max="1" width="3.140625" customWidth="1"/>
    <col min="2" max="2" width="24.7109375" customWidth="1"/>
    <col min="3" max="4" width="35.7109375" customWidth="1"/>
    <col min="5" max="5" width="20.7109375" customWidth="1"/>
    <col min="6" max="6" width="22.7109375" customWidth="1"/>
    <col min="7" max="7" width="24.7109375" customWidth="1"/>
    <col min="8" max="8" width="3.140625" customWidth="1"/>
  </cols>
  <sheetData>
    <row r="1" spans="1:8" ht="12" customHeight="1">
      <c r="A1" s="1"/>
      <c r="B1" s="1"/>
      <c r="C1" s="1"/>
      <c r="D1" s="1"/>
      <c r="E1" s="1"/>
      <c r="F1" s="1"/>
      <c r="G1" s="1"/>
      <c r="H1" s="1"/>
    </row>
    <row r="2" spans="1:8" ht="40" customHeight="1">
      <c r="A2" s="1"/>
      <c r="B2" s="2" t="s">
        <v>183</v>
      </c>
      <c r="C2" s="1"/>
      <c r="D2" s="1"/>
      <c r="E2" s="1"/>
      <c r="F2" s="1"/>
      <c r="G2" s="1"/>
      <c r="H2" s="1"/>
    </row>
    <row r="3" spans="1:8" ht="22" customHeight="1">
      <c r="A3" s="1"/>
      <c r="B3" s="3" t="s">
        <v>1</v>
      </c>
      <c r="C3" s="1"/>
      <c r="D3" s="1"/>
      <c r="E3" s="1"/>
      <c r="F3" s="1"/>
      <c r="G3" s="1"/>
      <c r="H3" s="1"/>
    </row>
    <row r="4" spans="1:8" ht="20" customHeight="1">
      <c r="A4" s="1"/>
      <c r="B4" s="4" t="s">
        <v>2</v>
      </c>
      <c r="C4" s="1"/>
      <c r="D4" s="1"/>
      <c r="E4" s="1"/>
      <c r="F4" s="1"/>
      <c r="G4" s="1"/>
      <c r="H4" s="1"/>
    </row>
    <row r="5" spans="1:8" ht="5" customHeight="1">
      <c r="A5" s="5"/>
      <c r="B5" s="5"/>
      <c r="C5" s="5"/>
      <c r="D5" s="5"/>
      <c r="E5" s="5"/>
      <c r="F5" s="5"/>
      <c r="G5" s="5"/>
      <c r="H5" s="5"/>
    </row>
    <row r="6" spans="1:8" ht="27" customHeight="1">
      <c r="B6" s="6" t="s">
        <v>184</v>
      </c>
      <c r="C6" s="7"/>
      <c r="D6" s="7"/>
      <c r="E6" s="7"/>
      <c r="F6" s="7"/>
      <c r="G6" s="8" t="s">
        <v>185</v>
      </c>
    </row>
    <row r="7" spans="1:8" ht="36" customHeight="1">
      <c r="B7" s="17" t="s">
        <v>186</v>
      </c>
      <c r="C7" s="25" t="s">
        <v>86</v>
      </c>
      <c r="D7" s="25" t="s">
        <v>87</v>
      </c>
      <c r="E7" s="18" t="s">
        <v>141</v>
      </c>
      <c r="F7" s="18" t="s">
        <v>187</v>
      </c>
      <c r="G7" s="25" t="s">
        <v>188</v>
      </c>
    </row>
    <row r="8" spans="1:8" ht="19" customHeight="1">
      <c r="B8" s="19" t="s">
        <v>189</v>
      </c>
      <c r="C8" s="26" t="s">
        <v>150</v>
      </c>
      <c r="D8" s="26" t="s">
        <v>190</v>
      </c>
      <c r="E8" s="20">
        <v>399</v>
      </c>
      <c r="F8" s="20">
        <v>399</v>
      </c>
      <c r="G8" s="26" t="s">
        <v>191</v>
      </c>
    </row>
    <row r="9" spans="1:8" ht="19" customHeight="1">
      <c r="B9" s="21" t="s">
        <v>189</v>
      </c>
      <c r="C9" s="27" t="s">
        <v>178</v>
      </c>
      <c r="D9" s="27" t="s">
        <v>179</v>
      </c>
      <c r="E9" s="22">
        <v>3</v>
      </c>
      <c r="F9" s="22">
        <v>3</v>
      </c>
      <c r="G9" s="27" t="s">
        <v>192</v>
      </c>
    </row>
    <row r="10" spans="1:8" ht="19" customHeight="1">
      <c r="B10" s="19" t="s">
        <v>189</v>
      </c>
      <c r="C10" s="26" t="s">
        <v>178</v>
      </c>
      <c r="D10" s="26" t="s">
        <v>179</v>
      </c>
      <c r="E10" s="20">
        <v>1</v>
      </c>
      <c r="F10" s="20">
        <v>1</v>
      </c>
      <c r="G10" s="26" t="s">
        <v>193</v>
      </c>
    </row>
    <row r="11" spans="1:8" ht="19" customHeight="1">
      <c r="B11" s="21" t="s">
        <v>194</v>
      </c>
      <c r="C11" s="27" t="s">
        <v>154</v>
      </c>
      <c r="D11" s="27" t="s">
        <v>155</v>
      </c>
      <c r="E11" s="22">
        <v>250</v>
      </c>
      <c r="F11" s="22">
        <v>249</v>
      </c>
      <c r="G11" s="27" t="s">
        <v>195</v>
      </c>
    </row>
    <row r="12" spans="1:8" ht="19" customHeight="1">
      <c r="B12" s="19" t="s">
        <v>194</v>
      </c>
      <c r="C12" s="26" t="s">
        <v>171</v>
      </c>
      <c r="D12" s="26" t="s">
        <v>196</v>
      </c>
      <c r="E12" s="20">
        <v>10</v>
      </c>
      <c r="F12" s="20">
        <v>1</v>
      </c>
      <c r="G12" s="26" t="s">
        <v>197</v>
      </c>
    </row>
    <row r="13" spans="1:8" ht="19" customHeight="1">
      <c r="B13" s="21" t="s">
        <v>194</v>
      </c>
      <c r="C13" s="27" t="s">
        <v>171</v>
      </c>
      <c r="D13" s="27" t="s">
        <v>198</v>
      </c>
      <c r="E13" s="22">
        <v>10</v>
      </c>
      <c r="F13" s="22">
        <v>1</v>
      </c>
      <c r="G13" s="27" t="s">
        <v>199</v>
      </c>
    </row>
    <row r="14" spans="1:8" ht="19" customHeight="1">
      <c r="B14" s="19" t="s">
        <v>200</v>
      </c>
      <c r="C14" s="26" t="s">
        <v>171</v>
      </c>
      <c r="D14" s="26" t="s">
        <v>201</v>
      </c>
      <c r="E14" s="20">
        <v>7</v>
      </c>
      <c r="F14" s="20">
        <v>1</v>
      </c>
      <c r="G14" s="26" t="s">
        <v>202</v>
      </c>
    </row>
    <row r="15" spans="1:8" ht="19" customHeight="1">
      <c r="B15" s="21" t="s">
        <v>203</v>
      </c>
      <c r="C15" s="27" t="s">
        <v>171</v>
      </c>
      <c r="D15" s="27" t="s">
        <v>204</v>
      </c>
      <c r="E15" s="22">
        <v>20</v>
      </c>
      <c r="F15" s="22">
        <v>3</v>
      </c>
      <c r="G15" s="27" t="s">
        <v>205</v>
      </c>
    </row>
    <row r="16" spans="1:8" ht="19" customHeight="1">
      <c r="B16" s="19" t="s">
        <v>203</v>
      </c>
      <c r="C16" s="26" t="s">
        <v>178</v>
      </c>
      <c r="D16" s="26" t="s">
        <v>179</v>
      </c>
      <c r="E16" s="20">
        <v>2</v>
      </c>
      <c r="F16" s="20">
        <v>1</v>
      </c>
      <c r="G16" s="26" t="s">
        <v>206</v>
      </c>
    </row>
    <row r="17" spans="2:7" ht="19" customHeight="1">
      <c r="B17" s="21" t="s">
        <v>203</v>
      </c>
      <c r="C17" s="27" t="s">
        <v>178</v>
      </c>
      <c r="D17" s="27" t="s">
        <v>179</v>
      </c>
      <c r="E17" s="22">
        <v>1</v>
      </c>
      <c r="F17" s="22">
        <v>1</v>
      </c>
      <c r="G17" s="27" t="s">
        <v>207</v>
      </c>
    </row>
    <row r="18" spans="2:7" ht="19" customHeight="1">
      <c r="B18" s="19" t="s">
        <v>203</v>
      </c>
      <c r="C18" s="26" t="s">
        <v>178</v>
      </c>
      <c r="D18" s="26" t="s">
        <v>179</v>
      </c>
      <c r="E18" s="20">
        <v>1</v>
      </c>
      <c r="F18" s="20">
        <v>1</v>
      </c>
      <c r="G18" s="26" t="s">
        <v>208</v>
      </c>
    </row>
    <row r="19" spans="2:7" ht="19" customHeight="1">
      <c r="B19" s="21" t="s">
        <v>209</v>
      </c>
      <c r="C19" s="27" t="s">
        <v>20</v>
      </c>
      <c r="D19" s="27" t="s">
        <v>210</v>
      </c>
      <c r="E19" s="22">
        <v>2</v>
      </c>
      <c r="F19" s="22">
        <v>1</v>
      </c>
      <c r="G19" s="27" t="s">
        <v>211</v>
      </c>
    </row>
    <row r="20" spans="2:7" ht="19" customHeight="1">
      <c r="B20" s="19" t="s">
        <v>209</v>
      </c>
      <c r="C20" s="26" t="s">
        <v>20</v>
      </c>
      <c r="D20" s="26" t="s">
        <v>210</v>
      </c>
      <c r="E20" s="20">
        <v>1</v>
      </c>
      <c r="F20" s="20">
        <v>2</v>
      </c>
      <c r="G20" s="26" t="s">
        <v>212</v>
      </c>
    </row>
    <row r="21" spans="2:7" ht="19" customHeight="1">
      <c r="B21" s="21" t="s">
        <v>209</v>
      </c>
      <c r="C21" s="27" t="s">
        <v>178</v>
      </c>
      <c r="D21" s="27" t="s">
        <v>179</v>
      </c>
      <c r="E21" s="22">
        <v>1</v>
      </c>
      <c r="F21" s="22">
        <v>1</v>
      </c>
      <c r="G21" s="27" t="s">
        <v>213</v>
      </c>
    </row>
    <row r="22" spans="2:7" ht="19" customHeight="1">
      <c r="B22" s="19" t="s">
        <v>209</v>
      </c>
      <c r="C22" s="26" t="s">
        <v>178</v>
      </c>
      <c r="D22" s="26" t="s">
        <v>179</v>
      </c>
      <c r="E22" s="20">
        <v>1</v>
      </c>
      <c r="F22" s="20">
        <v>1</v>
      </c>
      <c r="G22" s="26" t="s">
        <v>214</v>
      </c>
    </row>
    <row r="23" spans="2:7" ht="19" customHeight="1">
      <c r="B23" s="21" t="s">
        <v>41</v>
      </c>
      <c r="C23" s="27" t="s">
        <v>178</v>
      </c>
      <c r="D23" s="27" t="s">
        <v>179</v>
      </c>
      <c r="E23" s="22">
        <v>1</v>
      </c>
      <c r="F23" s="22">
        <v>1</v>
      </c>
      <c r="G23" s="27" t="s">
        <v>215</v>
      </c>
    </row>
    <row r="24" spans="2:7" ht="19" customHeight="1">
      <c r="B24" s="19" t="s">
        <v>44</v>
      </c>
      <c r="C24" s="26" t="s">
        <v>150</v>
      </c>
      <c r="D24" s="26" t="s">
        <v>190</v>
      </c>
      <c r="E24" s="20">
        <v>66</v>
      </c>
      <c r="F24" s="20">
        <v>66</v>
      </c>
      <c r="G24" s="26" t="s">
        <v>216</v>
      </c>
    </row>
    <row r="25" spans="2:7" ht="19" customHeight="1">
      <c r="B25" s="21" t="s">
        <v>44</v>
      </c>
      <c r="C25" s="27" t="s">
        <v>178</v>
      </c>
      <c r="D25" s="27" t="s">
        <v>179</v>
      </c>
      <c r="E25" s="22">
        <v>1</v>
      </c>
      <c r="F25" s="22">
        <v>1</v>
      </c>
      <c r="G25" s="27" t="s">
        <v>217</v>
      </c>
    </row>
    <row r="26" spans="2:7" ht="19" customHeight="1">
      <c r="B26" s="19" t="s">
        <v>50</v>
      </c>
      <c r="C26" s="26" t="s">
        <v>19</v>
      </c>
      <c r="D26" s="26" t="s">
        <v>218</v>
      </c>
      <c r="E26" s="20">
        <v>1500</v>
      </c>
      <c r="F26" s="20">
        <v>1500</v>
      </c>
      <c r="G26" s="26" t="s">
        <v>219</v>
      </c>
    </row>
    <row r="27" spans="2:7" ht="19" customHeight="1">
      <c r="B27" s="21" t="s">
        <v>50</v>
      </c>
      <c r="C27" s="27" t="s">
        <v>150</v>
      </c>
      <c r="D27" s="27" t="s">
        <v>220</v>
      </c>
      <c r="E27" s="22">
        <v>182</v>
      </c>
      <c r="F27" s="22">
        <v>182</v>
      </c>
      <c r="G27" s="27" t="s">
        <v>221</v>
      </c>
    </row>
    <row r="28" spans="2:7" ht="19" customHeight="1">
      <c r="B28" s="19" t="s">
        <v>50</v>
      </c>
      <c r="C28" s="26" t="s">
        <v>157</v>
      </c>
      <c r="D28" s="26" t="s">
        <v>222</v>
      </c>
      <c r="E28" s="20">
        <v>130</v>
      </c>
      <c r="F28" s="20">
        <v>65</v>
      </c>
      <c r="G28" s="26" t="s">
        <v>223</v>
      </c>
    </row>
    <row r="29" spans="2:7" ht="19" customHeight="1">
      <c r="B29" s="21" t="s">
        <v>51</v>
      </c>
      <c r="C29" s="27" t="s">
        <v>19</v>
      </c>
      <c r="D29" s="27" t="s">
        <v>218</v>
      </c>
      <c r="E29" s="22">
        <v>700</v>
      </c>
      <c r="F29" s="22">
        <v>700</v>
      </c>
      <c r="G29" s="27" t="s">
        <v>224</v>
      </c>
    </row>
    <row r="30" spans="2:7" ht="19" customHeight="1">
      <c r="B30" s="19" t="s">
        <v>54</v>
      </c>
      <c r="C30" s="26" t="s">
        <v>19</v>
      </c>
      <c r="D30" s="26" t="s">
        <v>95</v>
      </c>
      <c r="E30" s="20">
        <v>400</v>
      </c>
      <c r="F30" s="20">
        <v>400</v>
      </c>
      <c r="G30" s="26" t="s">
        <v>225</v>
      </c>
    </row>
    <row r="31" spans="2:7" ht="19" customHeight="1">
      <c r="B31" s="21" t="s">
        <v>54</v>
      </c>
      <c r="C31" s="27" t="s">
        <v>157</v>
      </c>
      <c r="D31" s="27" t="s">
        <v>222</v>
      </c>
      <c r="E31" s="22">
        <v>140</v>
      </c>
      <c r="F31" s="22">
        <v>140</v>
      </c>
      <c r="G31" s="27" t="s">
        <v>226</v>
      </c>
    </row>
    <row r="32" spans="2:7" ht="19" customHeight="1">
      <c r="B32" s="19" t="s">
        <v>55</v>
      </c>
      <c r="C32" s="26" t="s">
        <v>19</v>
      </c>
      <c r="D32" s="26" t="s">
        <v>95</v>
      </c>
      <c r="E32" s="20">
        <v>300</v>
      </c>
      <c r="F32" s="20">
        <v>300</v>
      </c>
      <c r="G32" s="26" t="s">
        <v>227</v>
      </c>
    </row>
    <row r="33" spans="2:7" ht="19" customHeight="1">
      <c r="B33" s="21" t="s">
        <v>55</v>
      </c>
      <c r="C33" s="27" t="s">
        <v>146</v>
      </c>
      <c r="D33" s="27" t="s">
        <v>228</v>
      </c>
      <c r="E33" s="22">
        <v>60</v>
      </c>
      <c r="F33" s="22">
        <v>23</v>
      </c>
      <c r="G33" s="27" t="s">
        <v>229</v>
      </c>
    </row>
    <row r="34" spans="2:7" ht="19" customHeight="1">
      <c r="B34" s="19" t="s">
        <v>55</v>
      </c>
      <c r="C34" s="26" t="s">
        <v>152</v>
      </c>
      <c r="D34" s="26" t="s">
        <v>153</v>
      </c>
      <c r="E34" s="20">
        <v>7</v>
      </c>
      <c r="F34" s="20">
        <v>1</v>
      </c>
      <c r="G34" s="26" t="s">
        <v>230</v>
      </c>
    </row>
    <row r="35" spans="2:7" ht="19" customHeight="1">
      <c r="B35" s="21" t="s">
        <v>56</v>
      </c>
      <c r="C35" s="27" t="s">
        <v>26</v>
      </c>
      <c r="D35" s="27" t="s">
        <v>231</v>
      </c>
      <c r="E35" s="22">
        <v>10</v>
      </c>
      <c r="F35" s="22">
        <v>3</v>
      </c>
      <c r="G35" s="27" t="s">
        <v>232</v>
      </c>
    </row>
    <row r="36" spans="2:7" ht="19" customHeight="1">
      <c r="B36" s="19" t="s">
        <v>57</v>
      </c>
      <c r="C36" s="26" t="s">
        <v>157</v>
      </c>
      <c r="D36" s="26" t="s">
        <v>222</v>
      </c>
      <c r="E36" s="20">
        <v>540</v>
      </c>
      <c r="F36" s="20">
        <v>270</v>
      </c>
      <c r="G36" s="26" t="s">
        <v>233</v>
      </c>
    </row>
    <row r="37" spans="2:7" ht="19" customHeight="1">
      <c r="B37" s="21" t="s">
        <v>57</v>
      </c>
      <c r="C37" s="27" t="s">
        <v>157</v>
      </c>
      <c r="D37" s="27" t="s">
        <v>234</v>
      </c>
      <c r="E37" s="22">
        <v>120</v>
      </c>
      <c r="F37" s="22">
        <v>120</v>
      </c>
      <c r="G37" s="27" t="s">
        <v>235</v>
      </c>
    </row>
    <row r="38" spans="2:7" ht="19" customHeight="1">
      <c r="B38" s="19" t="s">
        <v>57</v>
      </c>
      <c r="C38" s="26" t="s">
        <v>157</v>
      </c>
      <c r="D38" s="26" t="s">
        <v>234</v>
      </c>
      <c r="E38" s="20">
        <v>80</v>
      </c>
      <c r="F38" s="20">
        <v>80</v>
      </c>
      <c r="G38" s="26" t="s">
        <v>236</v>
      </c>
    </row>
    <row r="39" spans="2:7" ht="19" customHeight="1">
      <c r="B39" s="21" t="s">
        <v>57</v>
      </c>
      <c r="C39" s="27" t="s">
        <v>150</v>
      </c>
      <c r="D39" s="27" t="s">
        <v>190</v>
      </c>
      <c r="E39" s="22">
        <v>5</v>
      </c>
      <c r="F39" s="22">
        <v>5</v>
      </c>
      <c r="G39" s="27" t="s">
        <v>237</v>
      </c>
    </row>
    <row r="40" spans="2:7" ht="19" customHeight="1">
      <c r="B40" s="19" t="s">
        <v>57</v>
      </c>
      <c r="C40" s="26" t="s">
        <v>178</v>
      </c>
      <c r="D40" s="26" t="s">
        <v>179</v>
      </c>
      <c r="E40" s="20">
        <v>1</v>
      </c>
      <c r="F40" s="20">
        <v>1</v>
      </c>
      <c r="G40" s="26" t="s">
        <v>238</v>
      </c>
    </row>
    <row r="41" spans="2:7" ht="19" customHeight="1">
      <c r="B41" s="21" t="s">
        <v>57</v>
      </c>
      <c r="C41" s="27" t="s">
        <v>178</v>
      </c>
      <c r="D41" s="27" t="s">
        <v>179</v>
      </c>
      <c r="E41" s="22">
        <v>1</v>
      </c>
      <c r="F41" s="22">
        <v>1</v>
      </c>
      <c r="G41" s="27" t="s">
        <v>239</v>
      </c>
    </row>
    <row r="42" spans="2:7" ht="19" customHeight="1">
      <c r="B42" s="19" t="s">
        <v>58</v>
      </c>
      <c r="C42" s="26" t="s">
        <v>150</v>
      </c>
      <c r="D42" s="26" t="s">
        <v>148</v>
      </c>
      <c r="E42" s="20">
        <v>87</v>
      </c>
      <c r="F42" s="20">
        <v>87</v>
      </c>
      <c r="G42" s="26" t="s">
        <v>240</v>
      </c>
    </row>
    <row r="43" spans="2:7" ht="19" customHeight="1">
      <c r="B43" s="21" t="s">
        <v>58</v>
      </c>
      <c r="C43" s="27" t="s">
        <v>157</v>
      </c>
      <c r="D43" s="27" t="s">
        <v>234</v>
      </c>
      <c r="E43" s="22">
        <v>85</v>
      </c>
      <c r="F43" s="22">
        <v>85</v>
      </c>
      <c r="G43" s="27" t="s">
        <v>241</v>
      </c>
    </row>
    <row r="44" spans="2:7" ht="19" customHeight="1">
      <c r="B44" s="19" t="s">
        <v>58</v>
      </c>
      <c r="C44" s="26" t="s">
        <v>160</v>
      </c>
      <c r="D44" s="26" t="s">
        <v>161</v>
      </c>
      <c r="E44" s="20">
        <v>85</v>
      </c>
      <c r="F44" s="20">
        <v>85</v>
      </c>
      <c r="G44" s="26" t="s">
        <v>242</v>
      </c>
    </row>
    <row r="45" spans="2:7" ht="19" customHeight="1">
      <c r="B45" s="21" t="s">
        <v>59</v>
      </c>
      <c r="C45" s="27" t="s">
        <v>157</v>
      </c>
      <c r="D45" s="27" t="s">
        <v>243</v>
      </c>
      <c r="E45" s="22">
        <v>772</v>
      </c>
      <c r="F45" s="22">
        <v>772</v>
      </c>
      <c r="G45" s="27" t="s">
        <v>244</v>
      </c>
    </row>
    <row r="46" spans="2:7" ht="19" customHeight="1">
      <c r="B46" s="19" t="s">
        <v>59</v>
      </c>
      <c r="C46" s="26" t="s">
        <v>157</v>
      </c>
      <c r="D46" s="26" t="s">
        <v>222</v>
      </c>
      <c r="E46" s="20">
        <v>18</v>
      </c>
      <c r="F46" s="20">
        <v>18</v>
      </c>
      <c r="G46" s="26" t="s">
        <v>245</v>
      </c>
    </row>
    <row r="47" spans="2:7" ht="19" customHeight="1">
      <c r="B47" s="21" t="s">
        <v>61</v>
      </c>
      <c r="C47" s="27" t="s">
        <v>19</v>
      </c>
      <c r="D47" s="27" t="s">
        <v>123</v>
      </c>
      <c r="E47" s="22">
        <v>1500</v>
      </c>
      <c r="F47" s="22">
        <v>1500</v>
      </c>
      <c r="G47" s="27" t="s">
        <v>246</v>
      </c>
    </row>
    <row r="48" spans="2:7" ht="19" customHeight="1">
      <c r="B48" s="19" t="s">
        <v>61</v>
      </c>
      <c r="C48" s="26" t="s">
        <v>26</v>
      </c>
      <c r="D48" s="26" t="s">
        <v>171</v>
      </c>
      <c r="E48" s="20">
        <v>10</v>
      </c>
      <c r="F48" s="20">
        <v>10</v>
      </c>
      <c r="G48" s="26" t="s">
        <v>247</v>
      </c>
    </row>
    <row r="49" spans="2:7" ht="19" customHeight="1">
      <c r="B49" s="21" t="s">
        <v>62</v>
      </c>
      <c r="C49" s="27" t="s">
        <v>157</v>
      </c>
      <c r="D49" s="27" t="s">
        <v>157</v>
      </c>
      <c r="E49" s="22">
        <v>1270</v>
      </c>
      <c r="F49" s="22">
        <v>1270</v>
      </c>
      <c r="G49" s="27" t="s">
        <v>248</v>
      </c>
    </row>
    <row r="50" spans="2:7" ht="19" customHeight="1">
      <c r="B50" s="19" t="s">
        <v>62</v>
      </c>
      <c r="C50" s="26" t="s">
        <v>157</v>
      </c>
      <c r="D50" s="26" t="s">
        <v>222</v>
      </c>
      <c r="E50" s="20">
        <v>50</v>
      </c>
      <c r="F50" s="20">
        <v>50</v>
      </c>
      <c r="G50" s="26" t="s">
        <v>249</v>
      </c>
    </row>
    <row r="51" spans="2:7" ht="19" customHeight="1">
      <c r="B51" s="21" t="s">
        <v>64</v>
      </c>
      <c r="C51" s="27" t="s">
        <v>148</v>
      </c>
      <c r="D51" s="27" t="s">
        <v>149</v>
      </c>
      <c r="E51" s="22">
        <v>141</v>
      </c>
      <c r="F51" s="22">
        <v>141</v>
      </c>
      <c r="G51" s="27" t="s">
        <v>250</v>
      </c>
    </row>
    <row r="52" spans="2:7" ht="19" customHeight="1">
      <c r="B52" s="19" t="s">
        <v>64</v>
      </c>
      <c r="C52" s="26" t="s">
        <v>157</v>
      </c>
      <c r="D52" s="26" t="s">
        <v>222</v>
      </c>
      <c r="E52" s="20">
        <v>125</v>
      </c>
      <c r="F52" s="20">
        <v>125</v>
      </c>
      <c r="G52" s="26" t="s">
        <v>251</v>
      </c>
    </row>
    <row r="53" spans="2:7" ht="19" customHeight="1">
      <c r="B53" s="21" t="s">
        <v>64</v>
      </c>
      <c r="C53" s="27" t="s">
        <v>157</v>
      </c>
      <c r="D53" s="27" t="s">
        <v>222</v>
      </c>
      <c r="E53" s="22">
        <v>75</v>
      </c>
      <c r="F53" s="22">
        <v>75</v>
      </c>
      <c r="G53" s="27" t="s">
        <v>252</v>
      </c>
    </row>
    <row r="54" spans="2:7" ht="19" customHeight="1">
      <c r="B54" s="19" t="s">
        <v>64</v>
      </c>
      <c r="C54" s="26" t="s">
        <v>157</v>
      </c>
      <c r="D54" s="26" t="s">
        <v>222</v>
      </c>
      <c r="E54" s="20">
        <v>40</v>
      </c>
      <c r="F54" s="20">
        <v>40</v>
      </c>
      <c r="G54" s="26" t="s">
        <v>253</v>
      </c>
    </row>
    <row r="55" spans="2:7" ht="19" customHeight="1">
      <c r="B55" s="21" t="s">
        <v>64</v>
      </c>
      <c r="C55" s="27" t="s">
        <v>160</v>
      </c>
      <c r="D55" s="27" t="s">
        <v>161</v>
      </c>
      <c r="E55" s="22">
        <v>40</v>
      </c>
      <c r="F55" s="22">
        <v>40</v>
      </c>
      <c r="G55" s="27" t="s">
        <v>254</v>
      </c>
    </row>
    <row r="56" spans="2:7" ht="19" customHeight="1">
      <c r="B56" s="19" t="s">
        <v>65</v>
      </c>
      <c r="C56" s="26" t="s">
        <v>150</v>
      </c>
      <c r="D56" s="26" t="s">
        <v>190</v>
      </c>
      <c r="E56" s="20">
        <v>11</v>
      </c>
      <c r="F56" s="20">
        <v>11</v>
      </c>
      <c r="G56" s="26" t="s">
        <v>255</v>
      </c>
    </row>
    <row r="57" spans="2:7" ht="19" customHeight="1">
      <c r="B57" s="21" t="s">
        <v>66</v>
      </c>
      <c r="C57" s="27" t="s">
        <v>146</v>
      </c>
      <c r="D57" s="27" t="s">
        <v>256</v>
      </c>
      <c r="E57" s="22">
        <v>70</v>
      </c>
      <c r="F57" s="22">
        <v>30</v>
      </c>
      <c r="G57" s="27" t="s">
        <v>257</v>
      </c>
    </row>
    <row r="58" spans="2:7" ht="19" customHeight="1">
      <c r="B58" s="19" t="s">
        <v>66</v>
      </c>
      <c r="C58" s="26" t="s">
        <v>162</v>
      </c>
      <c r="D58" s="26" t="s">
        <v>258</v>
      </c>
      <c r="E58" s="20">
        <v>29</v>
      </c>
      <c r="F58" s="20">
        <v>30</v>
      </c>
      <c r="G58" s="26" t="s">
        <v>259</v>
      </c>
    </row>
    <row r="59" spans="2:7" ht="19" customHeight="1">
      <c r="B59" s="21" t="s">
        <v>68</v>
      </c>
      <c r="C59" s="27" t="s">
        <v>160</v>
      </c>
      <c r="D59" s="27" t="s">
        <v>161</v>
      </c>
      <c r="E59" s="22">
        <v>22</v>
      </c>
      <c r="F59" s="22">
        <v>22</v>
      </c>
      <c r="G59" s="27" t="s">
        <v>260</v>
      </c>
    </row>
    <row r="60" spans="2:7" ht="19" customHeight="1">
      <c r="B60" s="19" t="s">
        <v>68</v>
      </c>
      <c r="C60" s="26" t="s">
        <v>180</v>
      </c>
      <c r="D60" s="26" t="s">
        <v>261</v>
      </c>
      <c r="E60" s="20">
        <v>6</v>
      </c>
      <c r="F60" s="20">
        <v>1</v>
      </c>
      <c r="G60" s="26" t="s">
        <v>262</v>
      </c>
    </row>
    <row r="61" spans="2:7" ht="19" customHeight="1">
      <c r="B61" s="21" t="s">
        <v>69</v>
      </c>
      <c r="C61" s="27" t="s">
        <v>164</v>
      </c>
      <c r="D61" s="27" t="s">
        <v>165</v>
      </c>
      <c r="E61" s="22">
        <v>64</v>
      </c>
      <c r="F61" s="22">
        <v>32</v>
      </c>
      <c r="G61" s="27" t="s">
        <v>263</v>
      </c>
    </row>
    <row r="62" spans="2:7" ht="19" customHeight="1">
      <c r="B62" s="19" t="s">
        <v>69</v>
      </c>
      <c r="C62" s="26" t="s">
        <v>167</v>
      </c>
      <c r="D62" s="26" t="s">
        <v>264</v>
      </c>
      <c r="E62" s="20">
        <v>24</v>
      </c>
      <c r="F62" s="20">
        <v>6</v>
      </c>
      <c r="G62" s="26" t="s">
        <v>265</v>
      </c>
    </row>
    <row r="63" spans="2:7" ht="19" customHeight="1">
      <c r="B63" s="21" t="s">
        <v>70</v>
      </c>
      <c r="C63" s="27" t="s">
        <v>160</v>
      </c>
      <c r="D63" s="27" t="s">
        <v>161</v>
      </c>
      <c r="E63" s="22">
        <v>135</v>
      </c>
      <c r="F63" s="22">
        <v>135</v>
      </c>
      <c r="G63" s="27" t="s">
        <v>266</v>
      </c>
    </row>
    <row r="64" spans="2:7" ht="19" customHeight="1">
      <c r="B64" s="19" t="s">
        <v>71</v>
      </c>
      <c r="C64" s="26" t="s">
        <v>20</v>
      </c>
      <c r="D64" s="26" t="s">
        <v>267</v>
      </c>
      <c r="E64" s="20">
        <v>7</v>
      </c>
      <c r="F64" s="20">
        <v>7</v>
      </c>
      <c r="G64" s="26" t="s">
        <v>268</v>
      </c>
    </row>
    <row r="65" spans="2:7" ht="19" customHeight="1">
      <c r="B65" s="21" t="s">
        <v>72</v>
      </c>
      <c r="C65" s="27" t="s">
        <v>146</v>
      </c>
      <c r="D65" s="27" t="s">
        <v>269</v>
      </c>
      <c r="E65" s="22">
        <v>200</v>
      </c>
      <c r="F65" s="22">
        <v>200</v>
      </c>
      <c r="G65" s="27" t="s">
        <v>270</v>
      </c>
    </row>
    <row r="66" spans="2:7" ht="19" customHeight="1">
      <c r="B66" s="19" t="s">
        <v>72</v>
      </c>
      <c r="C66" s="26" t="s">
        <v>176</v>
      </c>
      <c r="D66" s="26" t="s">
        <v>177</v>
      </c>
      <c r="E66" s="20">
        <v>44</v>
      </c>
      <c r="F66" s="20">
        <v>44</v>
      </c>
      <c r="G66" s="26" t="s">
        <v>271</v>
      </c>
    </row>
    <row r="67" spans="2:7" ht="19" customHeight="1">
      <c r="B67" s="21" t="s">
        <v>72</v>
      </c>
      <c r="C67" s="27" t="s">
        <v>150</v>
      </c>
      <c r="D67" s="27" t="s">
        <v>190</v>
      </c>
      <c r="E67" s="22">
        <v>30</v>
      </c>
      <c r="F67" s="22">
        <v>30</v>
      </c>
      <c r="G67" s="27" t="s">
        <v>272</v>
      </c>
    </row>
    <row r="68" spans="2:7" ht="19" customHeight="1">
      <c r="B68" s="19" t="s">
        <v>72</v>
      </c>
      <c r="C68" s="26" t="s">
        <v>169</v>
      </c>
      <c r="D68" s="26" t="s">
        <v>273</v>
      </c>
      <c r="E68" s="20">
        <v>4</v>
      </c>
      <c r="F68" s="20">
        <v>4</v>
      </c>
      <c r="G68" s="26" t="s">
        <v>274</v>
      </c>
    </row>
    <row r="69" spans="2:7" ht="19" customHeight="1">
      <c r="B69" s="21" t="s">
        <v>72</v>
      </c>
      <c r="C69" s="27" t="s">
        <v>169</v>
      </c>
      <c r="D69" s="27" t="s">
        <v>169</v>
      </c>
      <c r="E69" s="22">
        <v>3</v>
      </c>
      <c r="F69" s="22">
        <v>3</v>
      </c>
      <c r="G69" s="27" t="s">
        <v>275</v>
      </c>
    </row>
    <row r="70" spans="2:7" ht="19" customHeight="1">
      <c r="B70" s="19" t="s">
        <v>73</v>
      </c>
      <c r="C70" s="26" t="s">
        <v>162</v>
      </c>
      <c r="D70" s="26" t="s">
        <v>276</v>
      </c>
      <c r="E70" s="20">
        <v>20</v>
      </c>
      <c r="F70" s="20">
        <v>20</v>
      </c>
      <c r="G70" s="26" t="s">
        <v>277</v>
      </c>
    </row>
    <row r="71" spans="2:7" ht="19" customHeight="1">
      <c r="B71" s="21" t="s">
        <v>75</v>
      </c>
      <c r="C71" s="27" t="s">
        <v>167</v>
      </c>
      <c r="D71" s="27" t="s">
        <v>278</v>
      </c>
      <c r="E71" s="22">
        <v>36</v>
      </c>
      <c r="F71" s="22">
        <v>9</v>
      </c>
      <c r="G71" s="27" t="s">
        <v>279</v>
      </c>
    </row>
    <row r="72" spans="2:7" ht="19" customHeight="1">
      <c r="B72" s="19" t="s">
        <v>76</v>
      </c>
      <c r="C72" s="26" t="s">
        <v>19</v>
      </c>
      <c r="D72" s="26" t="s">
        <v>123</v>
      </c>
      <c r="E72" s="20">
        <v>1000</v>
      </c>
      <c r="F72" s="20">
        <v>1000</v>
      </c>
      <c r="G72" s="26" t="s">
        <v>280</v>
      </c>
    </row>
    <row r="73" spans="2:7" ht="19" customHeight="1">
      <c r="B73" s="21" t="s">
        <v>76</v>
      </c>
      <c r="C73" s="27" t="s">
        <v>19</v>
      </c>
      <c r="D73" s="27" t="s">
        <v>95</v>
      </c>
      <c r="E73" s="22">
        <v>800</v>
      </c>
      <c r="F73" s="22">
        <v>800</v>
      </c>
      <c r="G73" s="27" t="s">
        <v>281</v>
      </c>
    </row>
    <row r="74" spans="2:7" ht="19" customHeight="1">
      <c r="B74" s="19" t="s">
        <v>76</v>
      </c>
      <c r="C74" s="26" t="s">
        <v>19</v>
      </c>
      <c r="D74" s="26" t="s">
        <v>95</v>
      </c>
      <c r="E74" s="20">
        <v>300</v>
      </c>
      <c r="F74" s="20">
        <v>300</v>
      </c>
      <c r="G74" s="26" t="s">
        <v>282</v>
      </c>
    </row>
    <row r="75" spans="2:7" ht="19" customHeight="1">
      <c r="B75" s="21" t="s">
        <v>76</v>
      </c>
      <c r="C75" s="27" t="s">
        <v>160</v>
      </c>
      <c r="D75" s="27" t="s">
        <v>161</v>
      </c>
      <c r="E75" s="22">
        <v>216</v>
      </c>
      <c r="F75" s="22">
        <v>216</v>
      </c>
      <c r="G75" s="27" t="s">
        <v>283</v>
      </c>
    </row>
    <row r="76" spans="2:7" ht="19" customHeight="1">
      <c r="B76" s="19" t="s">
        <v>77</v>
      </c>
      <c r="C76" s="26" t="s">
        <v>174</v>
      </c>
      <c r="D76" s="26" t="s">
        <v>175</v>
      </c>
      <c r="E76" s="20">
        <v>17</v>
      </c>
      <c r="F76" s="20">
        <v>17</v>
      </c>
      <c r="G76" s="26" t="s">
        <v>284</v>
      </c>
    </row>
    <row r="77" spans="2:7" ht="19" customHeight="1">
      <c r="B77" s="21" t="s">
        <v>77</v>
      </c>
      <c r="C77" s="27" t="s">
        <v>180</v>
      </c>
      <c r="D77" s="27" t="s">
        <v>285</v>
      </c>
      <c r="E77" s="22">
        <v>5</v>
      </c>
      <c r="F77" s="22">
        <v>1</v>
      </c>
      <c r="G77" s="27" t="s">
        <v>286</v>
      </c>
    </row>
    <row r="78" spans="2:7" ht="19" customHeight="1">
      <c r="B78" s="19" t="s">
        <v>77</v>
      </c>
      <c r="C78" s="26" t="s">
        <v>178</v>
      </c>
      <c r="D78" s="26" t="s">
        <v>179</v>
      </c>
      <c r="E78" s="20">
        <v>3</v>
      </c>
      <c r="F78" s="20">
        <v>5</v>
      </c>
      <c r="G78" s="26" t="s">
        <v>287</v>
      </c>
    </row>
    <row r="79" spans="2:7" ht="19" customHeight="1">
      <c r="B79" s="21" t="s">
        <v>78</v>
      </c>
      <c r="C79" s="27" t="s">
        <v>171</v>
      </c>
      <c r="D79" s="27" t="s">
        <v>198</v>
      </c>
      <c r="E79" s="22">
        <v>11</v>
      </c>
      <c r="F79" s="22">
        <v>1</v>
      </c>
      <c r="G79" s="27" t="s">
        <v>288</v>
      </c>
    </row>
    <row r="80" spans="2:7" ht="19" customHeight="1">
      <c r="B80" s="19" t="s">
        <v>78</v>
      </c>
      <c r="C80" s="26" t="s">
        <v>20</v>
      </c>
      <c r="D80" s="26" t="s">
        <v>210</v>
      </c>
      <c r="E80" s="20">
        <v>3</v>
      </c>
      <c r="F80" s="20">
        <v>3</v>
      </c>
      <c r="G80" s="26" t="s">
        <v>289</v>
      </c>
    </row>
    <row r="81" spans="2:7" ht="19" customHeight="1">
      <c r="B81" s="21" t="s">
        <v>79</v>
      </c>
      <c r="C81" s="27" t="s">
        <v>19</v>
      </c>
      <c r="D81" s="27" t="s">
        <v>218</v>
      </c>
      <c r="E81" s="22">
        <v>250</v>
      </c>
      <c r="F81" s="22">
        <v>250</v>
      </c>
      <c r="G81" s="27" t="s">
        <v>290</v>
      </c>
    </row>
    <row r="82" spans="2:7" ht="19" customHeight="1">
      <c r="B82" s="19" t="s">
        <v>80</v>
      </c>
      <c r="C82" s="26" t="s">
        <v>157</v>
      </c>
      <c r="D82" s="26" t="s">
        <v>157</v>
      </c>
      <c r="E82" s="20">
        <v>150</v>
      </c>
      <c r="F82" s="20">
        <v>150</v>
      </c>
      <c r="G82" s="26" t="s">
        <v>291</v>
      </c>
    </row>
    <row r="83" spans="2:7" ht="19" customHeight="1">
      <c r="B83" s="21" t="s">
        <v>80</v>
      </c>
      <c r="C83" s="27" t="s">
        <v>146</v>
      </c>
      <c r="D83" s="27" t="s">
        <v>256</v>
      </c>
      <c r="E83" s="22">
        <v>100</v>
      </c>
      <c r="F83" s="22">
        <v>35</v>
      </c>
      <c r="G83" s="27" t="s">
        <v>292</v>
      </c>
    </row>
    <row r="84" spans="2:7" ht="19" customHeight="1">
      <c r="B84" s="19" t="s">
        <v>80</v>
      </c>
      <c r="C84" s="26" t="s">
        <v>19</v>
      </c>
      <c r="D84" s="26" t="s">
        <v>293</v>
      </c>
      <c r="E84" s="20">
        <v>100</v>
      </c>
      <c r="F84" s="20">
        <v>100</v>
      </c>
      <c r="G84" s="26" t="s">
        <v>294</v>
      </c>
    </row>
    <row r="85" spans="2:7" ht="19" customHeight="1">
      <c r="B85" s="21" t="s">
        <v>80</v>
      </c>
      <c r="C85" s="27" t="s">
        <v>146</v>
      </c>
      <c r="D85" s="27" t="s">
        <v>256</v>
      </c>
      <c r="E85" s="22">
        <v>97</v>
      </c>
      <c r="F85" s="22">
        <v>30</v>
      </c>
      <c r="G85" s="27" t="s">
        <v>295</v>
      </c>
    </row>
    <row r="86" spans="2:7" ht="19" customHeight="1">
      <c r="B86" s="19" t="s">
        <v>80</v>
      </c>
      <c r="C86" s="26" t="s">
        <v>18</v>
      </c>
      <c r="D86" s="26" t="s">
        <v>296</v>
      </c>
      <c r="E86" s="20">
        <v>66</v>
      </c>
      <c r="F86" s="20">
        <v>66</v>
      </c>
      <c r="G86" s="26" t="s">
        <v>297</v>
      </c>
    </row>
    <row r="87" spans="2:7" ht="19" customHeight="1">
      <c r="B87" s="21" t="s">
        <v>80</v>
      </c>
      <c r="C87" s="27" t="s">
        <v>26</v>
      </c>
      <c r="D87" s="27" t="s">
        <v>298</v>
      </c>
      <c r="E87" s="22">
        <v>30</v>
      </c>
      <c r="F87" s="22">
        <v>20</v>
      </c>
      <c r="G87" s="27" t="s">
        <v>299</v>
      </c>
    </row>
    <row r="88" spans="2:7" ht="19" customHeight="1">
      <c r="B88" s="19" t="s">
        <v>80</v>
      </c>
      <c r="C88" s="26" t="s">
        <v>26</v>
      </c>
      <c r="D88" s="26" t="s">
        <v>298</v>
      </c>
      <c r="E88" s="20">
        <v>25</v>
      </c>
      <c r="F88" s="20">
        <v>20</v>
      </c>
      <c r="G88" s="26" t="s">
        <v>300</v>
      </c>
    </row>
    <row r="89" spans="2:7" ht="19" customHeight="1">
      <c r="B89" s="21" t="s">
        <v>80</v>
      </c>
      <c r="C89" s="27" t="s">
        <v>162</v>
      </c>
      <c r="D89" s="27" t="s">
        <v>301</v>
      </c>
      <c r="E89" s="22">
        <v>15</v>
      </c>
      <c r="F89" s="22">
        <v>15</v>
      </c>
      <c r="G89" s="27" t="s">
        <v>302</v>
      </c>
    </row>
    <row r="90" spans="2:7" ht="19" customHeight="1">
      <c r="B90" s="19" t="s">
        <v>81</v>
      </c>
      <c r="C90" s="26" t="s">
        <v>162</v>
      </c>
      <c r="D90" s="26" t="s">
        <v>162</v>
      </c>
      <c r="E90" s="20">
        <v>15</v>
      </c>
      <c r="F90" s="20">
        <v>15</v>
      </c>
      <c r="G90" s="26" t="s">
        <v>303</v>
      </c>
    </row>
    <row r="91" spans="2:7" ht="19" customHeight="1">
      <c r="B91" s="21" t="s">
        <v>81</v>
      </c>
      <c r="C91" s="27" t="s">
        <v>171</v>
      </c>
      <c r="D91" s="27" t="s">
        <v>204</v>
      </c>
      <c r="E91" s="22">
        <v>2</v>
      </c>
      <c r="F91" s="22">
        <v>1</v>
      </c>
      <c r="G91" s="27" t="s">
        <v>304</v>
      </c>
    </row>
    <row r="92" spans="2:7" ht="19" customHeight="1">
      <c r="B92" s="19" t="s">
        <v>81</v>
      </c>
      <c r="C92" s="26" t="s">
        <v>171</v>
      </c>
      <c r="D92" s="26" t="s">
        <v>204</v>
      </c>
      <c r="E92" s="20">
        <v>1</v>
      </c>
      <c r="F92" s="20">
        <v>1</v>
      </c>
      <c r="G92" s="26" t="s">
        <v>305</v>
      </c>
    </row>
    <row r="93" spans="2:7" ht="19" customHeight="1">
      <c r="B93" s="21" t="s">
        <v>81</v>
      </c>
      <c r="C93" s="27" t="s">
        <v>171</v>
      </c>
      <c r="D93" s="27" t="s">
        <v>204</v>
      </c>
      <c r="E93" s="22">
        <v>1</v>
      </c>
      <c r="F93" s="22">
        <v>1</v>
      </c>
      <c r="G93" s="27" t="s">
        <v>306</v>
      </c>
    </row>
    <row r="94" spans="2:7" ht="19" customHeight="1">
      <c r="B94" s="19" t="s">
        <v>81</v>
      </c>
      <c r="C94" s="26" t="s">
        <v>171</v>
      </c>
      <c r="D94" s="26" t="s">
        <v>204</v>
      </c>
      <c r="E94" s="20">
        <v>1</v>
      </c>
      <c r="F94" s="20">
        <v>1</v>
      </c>
      <c r="G94" s="26" t="s">
        <v>307</v>
      </c>
    </row>
    <row r="95" spans="2:7" ht="19" customHeight="1">
      <c r="B95" s="21" t="s">
        <v>81</v>
      </c>
      <c r="C95" s="27" t="s">
        <v>171</v>
      </c>
      <c r="D95" s="27" t="s">
        <v>204</v>
      </c>
      <c r="E95" s="22">
        <v>1</v>
      </c>
      <c r="F95" s="22">
        <v>1</v>
      </c>
      <c r="G95" s="27" t="s">
        <v>308</v>
      </c>
    </row>
    <row r="96" spans="2:7" ht="19" customHeight="1">
      <c r="B96" s="19" t="s">
        <v>82</v>
      </c>
      <c r="C96" s="26" t="s">
        <v>157</v>
      </c>
      <c r="D96" s="26" t="s">
        <v>243</v>
      </c>
      <c r="E96" s="20">
        <v>225</v>
      </c>
      <c r="F96" s="20">
        <v>225</v>
      </c>
      <c r="G96" s="26" t="s">
        <v>309</v>
      </c>
    </row>
    <row r="97" spans="2:7" ht="22" customHeight="1">
      <c r="B97" s="30" t="s">
        <v>182</v>
      </c>
      <c r="C97" s="31"/>
      <c r="D97" s="31"/>
      <c r="E97" s="32">
        <f>SUM(E8:E96)</f>
        <v>13390</v>
      </c>
      <c r="F97" s="32">
        <f>SUM(F8:F96)</f>
        <v>12681</v>
      </c>
      <c r="G97" s="31"/>
    </row>
    <row r="100" spans="2:7" ht="27" customHeight="1">
      <c r="B100" s="6" t="s">
        <v>310</v>
      </c>
      <c r="C100" s="7"/>
      <c r="D100" s="7"/>
      <c r="E100" s="8" t="s">
        <v>311</v>
      </c>
    </row>
    <row r="101" spans="2:7" ht="36" customHeight="1">
      <c r="B101" s="34" t="s">
        <v>312</v>
      </c>
      <c r="C101" s="18" t="s">
        <v>313</v>
      </c>
      <c r="D101" s="18" t="s">
        <v>314</v>
      </c>
    </row>
    <row r="102" spans="2:7" ht="19" customHeight="1">
      <c r="B102" s="35">
        <v>145523</v>
      </c>
      <c r="C102" s="20">
        <v>44098</v>
      </c>
      <c r="D102" s="28">
        <v>13405351.02</v>
      </c>
    </row>
  </sheetData>
  <printOptions horizontalCentered="1"/>
  <pageMargins left="0.35" right="0.35" top="0.6" bottom="0.55" header="0.3" footer="0.3"/>
  <pageSetup paperSize="9" fitToHeight="0" orientation="landscape"/>
  <headerFooter>
    <oddHeader>&amp;L&amp;"Century Gothic,Bold"&amp;9&amp;K512F8DMinisterio de Trabajo y Desarrollo Humano&amp;R&amp;"Calibri,Regular"&amp;9&amp;K5A5765Del 14/09/2026 al 26/10/2026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512F8D"/>
    <pageSetUpPr fitToPage="1"/>
  </sheetPr>
  <dimension ref="A1:I106"/>
  <sheetViews>
    <sheetView showGridLines="0" workbookViewId="0"/>
  </sheetViews>
  <sheetFormatPr defaultRowHeight="15"/>
  <cols>
    <col min="1" max="1" width="3.140625" customWidth="1"/>
    <col min="2" max="2" width="24.7109375" customWidth="1"/>
    <col min="3" max="3" width="30.7109375" customWidth="1"/>
    <col min="4" max="4" width="20.7109375" customWidth="1"/>
    <col min="5" max="5" width="52.7109375" customWidth="1"/>
    <col min="6" max="6" width="25.7109375" customWidth="1"/>
    <col min="7" max="7" width="42.7109375" customWidth="1"/>
    <col min="8" max="8" width="16.7109375" customWidth="1"/>
    <col min="9" max="9" width="3.140625" customWidth="1"/>
  </cols>
  <sheetData>
    <row r="1" spans="1:9" ht="12" customHeight="1">
      <c r="A1" s="1"/>
      <c r="B1" s="1"/>
      <c r="C1" s="1"/>
      <c r="D1" s="1"/>
      <c r="E1" s="1"/>
      <c r="F1" s="1"/>
      <c r="G1" s="1"/>
      <c r="H1" s="1"/>
      <c r="I1" s="1"/>
    </row>
    <row r="2" spans="1:9" ht="40" customHeight="1">
      <c r="A2" s="1"/>
      <c r="B2" s="2" t="s">
        <v>315</v>
      </c>
      <c r="C2" s="1"/>
      <c r="D2" s="1"/>
      <c r="E2" s="1"/>
      <c r="F2" s="1"/>
      <c r="G2" s="1"/>
      <c r="H2" s="1"/>
      <c r="I2" s="1"/>
    </row>
    <row r="3" spans="1:9" ht="22" customHeight="1">
      <c r="A3" s="1"/>
      <c r="B3" s="3" t="s">
        <v>1</v>
      </c>
      <c r="C3" s="1"/>
      <c r="D3" s="1"/>
      <c r="E3" s="1"/>
      <c r="F3" s="1"/>
      <c r="G3" s="1"/>
      <c r="H3" s="1"/>
      <c r="I3" s="1"/>
    </row>
    <row r="4" spans="1:9" ht="20" customHeight="1">
      <c r="A4" s="1"/>
      <c r="B4" s="4" t="s">
        <v>2</v>
      </c>
      <c r="C4" s="1"/>
      <c r="D4" s="1"/>
      <c r="E4" s="1"/>
      <c r="F4" s="1"/>
      <c r="G4" s="1"/>
      <c r="H4" s="1"/>
      <c r="I4" s="1"/>
    </row>
    <row r="5" spans="1:9" ht="5" customHeight="1">
      <c r="A5" s="5"/>
      <c r="B5" s="5"/>
      <c r="C5" s="5"/>
      <c r="D5" s="5"/>
      <c r="E5" s="5"/>
      <c r="F5" s="5"/>
      <c r="G5" s="5"/>
      <c r="H5" s="5"/>
      <c r="I5" s="5"/>
    </row>
    <row r="6" spans="1:9" ht="27" customHeight="1">
      <c r="B6" s="6" t="s">
        <v>316</v>
      </c>
      <c r="C6" s="7"/>
      <c r="D6" s="7"/>
      <c r="E6" s="7"/>
      <c r="F6" s="7"/>
      <c r="G6" s="7"/>
      <c r="H6" s="8" t="s">
        <v>317</v>
      </c>
    </row>
    <row r="7" spans="1:9" ht="36" customHeight="1">
      <c r="B7" s="17" t="s">
        <v>86</v>
      </c>
      <c r="C7" s="25" t="s">
        <v>87</v>
      </c>
      <c r="D7" s="25" t="s">
        <v>90</v>
      </c>
      <c r="E7" s="25" t="s">
        <v>89</v>
      </c>
      <c r="F7" s="25" t="s">
        <v>88</v>
      </c>
      <c r="G7" s="25" t="s">
        <v>318</v>
      </c>
      <c r="H7" s="18" t="s">
        <v>17</v>
      </c>
    </row>
    <row r="8" spans="1:9" ht="19" customHeight="1">
      <c r="B8" s="19" t="s">
        <v>19</v>
      </c>
      <c r="C8" s="26" t="s">
        <v>123</v>
      </c>
      <c r="D8" s="26" t="s">
        <v>23</v>
      </c>
      <c r="E8" s="26" t="s">
        <v>319</v>
      </c>
      <c r="F8" s="26"/>
      <c r="G8" s="26" t="s">
        <v>320</v>
      </c>
      <c r="H8" s="20">
        <v>1</v>
      </c>
    </row>
    <row r="9" spans="1:9" ht="19" customHeight="1">
      <c r="B9" s="21" t="s">
        <v>19</v>
      </c>
      <c r="C9" s="27" t="s">
        <v>123</v>
      </c>
      <c r="D9" s="27" t="s">
        <v>23</v>
      </c>
      <c r="E9" s="27" t="s">
        <v>321</v>
      </c>
      <c r="F9" s="27"/>
      <c r="G9" s="27" t="s">
        <v>320</v>
      </c>
      <c r="H9" s="22">
        <v>1</v>
      </c>
    </row>
    <row r="10" spans="1:9" ht="19" customHeight="1">
      <c r="B10" s="19" t="s">
        <v>19</v>
      </c>
      <c r="C10" s="26" t="s">
        <v>123</v>
      </c>
      <c r="D10" s="26" t="s">
        <v>23</v>
      </c>
      <c r="E10" s="26" t="s">
        <v>322</v>
      </c>
      <c r="F10" s="26"/>
      <c r="G10" s="26" t="s">
        <v>320</v>
      </c>
      <c r="H10" s="20">
        <v>1</v>
      </c>
    </row>
    <row r="11" spans="1:9" ht="19" customHeight="1">
      <c r="B11" s="21" t="s">
        <v>19</v>
      </c>
      <c r="C11" s="27" t="s">
        <v>123</v>
      </c>
      <c r="D11" s="27" t="s">
        <v>23</v>
      </c>
      <c r="E11" s="27" t="s">
        <v>323</v>
      </c>
      <c r="F11" s="27"/>
      <c r="G11" s="27" t="s">
        <v>320</v>
      </c>
      <c r="H11" s="22">
        <v>1</v>
      </c>
    </row>
    <row r="12" spans="1:9" ht="19" customHeight="1">
      <c r="B12" s="19" t="s">
        <v>19</v>
      </c>
      <c r="C12" s="26" t="s">
        <v>123</v>
      </c>
      <c r="D12" s="26" t="s">
        <v>23</v>
      </c>
      <c r="E12" s="26" t="s">
        <v>324</v>
      </c>
      <c r="F12" s="26"/>
      <c r="G12" s="26" t="s">
        <v>320</v>
      </c>
      <c r="H12" s="20">
        <v>1</v>
      </c>
    </row>
    <row r="13" spans="1:9" ht="19" customHeight="1">
      <c r="B13" s="21" t="s">
        <v>19</v>
      </c>
      <c r="C13" s="27" t="s">
        <v>123</v>
      </c>
      <c r="D13" s="27" t="s">
        <v>23</v>
      </c>
      <c r="E13" s="27" t="s">
        <v>325</v>
      </c>
      <c r="F13" s="27"/>
      <c r="G13" s="27" t="s">
        <v>320</v>
      </c>
      <c r="H13" s="22">
        <v>1</v>
      </c>
    </row>
    <row r="14" spans="1:9" ht="19" customHeight="1">
      <c r="B14" s="19" t="s">
        <v>19</v>
      </c>
      <c r="C14" s="26" t="s">
        <v>123</v>
      </c>
      <c r="D14" s="26" t="s">
        <v>23</v>
      </c>
      <c r="E14" s="26" t="s">
        <v>326</v>
      </c>
      <c r="F14" s="26"/>
      <c r="G14" s="26" t="s">
        <v>320</v>
      </c>
      <c r="H14" s="20">
        <v>1</v>
      </c>
    </row>
    <row r="15" spans="1:9" ht="19" customHeight="1">
      <c r="B15" s="21" t="s">
        <v>19</v>
      </c>
      <c r="C15" s="27" t="s">
        <v>123</v>
      </c>
      <c r="D15" s="27" t="s">
        <v>23</v>
      </c>
      <c r="E15" s="27" t="s">
        <v>327</v>
      </c>
      <c r="F15" s="27"/>
      <c r="G15" s="27" t="s">
        <v>320</v>
      </c>
      <c r="H15" s="22">
        <v>1</v>
      </c>
    </row>
    <row r="16" spans="1:9" ht="19" customHeight="1">
      <c r="B16" s="19" t="s">
        <v>19</v>
      </c>
      <c r="C16" s="26" t="s">
        <v>123</v>
      </c>
      <c r="D16" s="26" t="s">
        <v>23</v>
      </c>
      <c r="E16" s="26" t="s">
        <v>328</v>
      </c>
      <c r="F16" s="26"/>
      <c r="G16" s="26" t="s">
        <v>320</v>
      </c>
      <c r="H16" s="20">
        <v>1</v>
      </c>
    </row>
    <row r="17" spans="2:8" ht="19" customHeight="1">
      <c r="B17" s="21" t="s">
        <v>19</v>
      </c>
      <c r="C17" s="27" t="s">
        <v>123</v>
      </c>
      <c r="D17" s="27" t="s">
        <v>23</v>
      </c>
      <c r="E17" s="27" t="s">
        <v>329</v>
      </c>
      <c r="F17" s="27"/>
      <c r="G17" s="27" t="s">
        <v>320</v>
      </c>
      <c r="H17" s="22">
        <v>1</v>
      </c>
    </row>
    <row r="18" spans="2:8" ht="19" customHeight="1">
      <c r="B18" s="19" t="s">
        <v>19</v>
      </c>
      <c r="C18" s="26" t="s">
        <v>123</v>
      </c>
      <c r="D18" s="26" t="s">
        <v>23</v>
      </c>
      <c r="E18" s="26" t="s">
        <v>330</v>
      </c>
      <c r="F18" s="26"/>
      <c r="G18" s="26" t="s">
        <v>320</v>
      </c>
      <c r="H18" s="20">
        <v>1</v>
      </c>
    </row>
    <row r="19" spans="2:8" ht="19" customHeight="1">
      <c r="B19" s="21" t="s">
        <v>19</v>
      </c>
      <c r="C19" s="27" t="s">
        <v>123</v>
      </c>
      <c r="D19" s="27" t="s">
        <v>23</v>
      </c>
      <c r="E19" s="27" t="s">
        <v>331</v>
      </c>
      <c r="F19" s="27"/>
      <c r="G19" s="27" t="s">
        <v>320</v>
      </c>
      <c r="H19" s="22">
        <v>1</v>
      </c>
    </row>
    <row r="20" spans="2:8" ht="19" customHeight="1">
      <c r="B20" s="19" t="s">
        <v>19</v>
      </c>
      <c r="C20" s="26" t="s">
        <v>123</v>
      </c>
      <c r="D20" s="26" t="s">
        <v>23</v>
      </c>
      <c r="E20" s="26" t="s">
        <v>332</v>
      </c>
      <c r="F20" s="26"/>
      <c r="G20" s="26" t="s">
        <v>320</v>
      </c>
      <c r="H20" s="20">
        <v>1</v>
      </c>
    </row>
    <row r="21" spans="2:8" ht="19" customHeight="1">
      <c r="B21" s="21" t="s">
        <v>19</v>
      </c>
      <c r="C21" s="27" t="s">
        <v>123</v>
      </c>
      <c r="D21" s="27" t="s">
        <v>23</v>
      </c>
      <c r="E21" s="27" t="s">
        <v>333</v>
      </c>
      <c r="F21" s="27"/>
      <c r="G21" s="27" t="s">
        <v>320</v>
      </c>
      <c r="H21" s="22">
        <v>1</v>
      </c>
    </row>
    <row r="22" spans="2:8" ht="19" customHeight="1">
      <c r="B22" s="19" t="s">
        <v>19</v>
      </c>
      <c r="C22" s="26" t="s">
        <v>123</v>
      </c>
      <c r="D22" s="26" t="s">
        <v>23</v>
      </c>
      <c r="E22" s="26" t="s">
        <v>334</v>
      </c>
      <c r="F22" s="26"/>
      <c r="G22" s="26" t="s">
        <v>320</v>
      </c>
      <c r="H22" s="20">
        <v>1</v>
      </c>
    </row>
    <row r="23" spans="2:8" ht="19" customHeight="1">
      <c r="B23" s="21" t="s">
        <v>19</v>
      </c>
      <c r="C23" s="27" t="s">
        <v>123</v>
      </c>
      <c r="D23" s="27" t="s">
        <v>23</v>
      </c>
      <c r="E23" s="27" t="s">
        <v>335</v>
      </c>
      <c r="F23" s="27"/>
      <c r="G23" s="27" t="s">
        <v>320</v>
      </c>
      <c r="H23" s="22">
        <v>1</v>
      </c>
    </row>
    <row r="24" spans="2:8" ht="19" customHeight="1">
      <c r="B24" s="19" t="s">
        <v>19</v>
      </c>
      <c r="C24" s="26" t="s">
        <v>123</v>
      </c>
      <c r="D24" s="26" t="s">
        <v>23</v>
      </c>
      <c r="E24" s="26" t="s">
        <v>336</v>
      </c>
      <c r="F24" s="26"/>
      <c r="G24" s="26" t="s">
        <v>320</v>
      </c>
      <c r="H24" s="20">
        <v>1</v>
      </c>
    </row>
    <row r="25" spans="2:8" ht="19" customHeight="1">
      <c r="B25" s="21" t="s">
        <v>18</v>
      </c>
      <c r="C25" s="27" t="s">
        <v>296</v>
      </c>
      <c r="D25" s="27" t="s">
        <v>23</v>
      </c>
      <c r="E25" s="27" t="s">
        <v>337</v>
      </c>
      <c r="F25" s="27"/>
      <c r="G25" s="27" t="s">
        <v>320</v>
      </c>
      <c r="H25" s="22">
        <v>1</v>
      </c>
    </row>
    <row r="26" spans="2:8" ht="19" customHeight="1">
      <c r="B26" s="19" t="s">
        <v>18</v>
      </c>
      <c r="C26" s="26" t="s">
        <v>296</v>
      </c>
      <c r="D26" s="26" t="s">
        <v>23</v>
      </c>
      <c r="E26" s="26" t="s">
        <v>338</v>
      </c>
      <c r="F26" s="26"/>
      <c r="G26" s="26" t="s">
        <v>320</v>
      </c>
      <c r="H26" s="20">
        <v>1</v>
      </c>
    </row>
    <row r="27" spans="2:8" ht="19" customHeight="1">
      <c r="B27" s="21" t="s">
        <v>18</v>
      </c>
      <c r="C27" s="27" t="s">
        <v>296</v>
      </c>
      <c r="D27" s="27" t="s">
        <v>23</v>
      </c>
      <c r="E27" s="27" t="s">
        <v>339</v>
      </c>
      <c r="F27" s="27"/>
      <c r="G27" s="27" t="s">
        <v>320</v>
      </c>
      <c r="H27" s="22">
        <v>1</v>
      </c>
    </row>
    <row r="28" spans="2:8" ht="19" customHeight="1">
      <c r="B28" s="19" t="s">
        <v>18</v>
      </c>
      <c r="C28" s="26" t="s">
        <v>114</v>
      </c>
      <c r="D28" s="26" t="s">
        <v>23</v>
      </c>
      <c r="E28" s="26" t="s">
        <v>340</v>
      </c>
      <c r="F28" s="26"/>
      <c r="G28" s="26" t="s">
        <v>320</v>
      </c>
      <c r="H28" s="20">
        <v>1</v>
      </c>
    </row>
    <row r="29" spans="2:8" ht="19" customHeight="1">
      <c r="B29" s="21" t="s">
        <v>18</v>
      </c>
      <c r="C29" s="27" t="s">
        <v>114</v>
      </c>
      <c r="D29" s="27" t="s">
        <v>23</v>
      </c>
      <c r="E29" s="27" t="s">
        <v>341</v>
      </c>
      <c r="F29" s="27"/>
      <c r="G29" s="27" t="s">
        <v>320</v>
      </c>
      <c r="H29" s="22">
        <v>1</v>
      </c>
    </row>
    <row r="30" spans="2:8" ht="19" customHeight="1">
      <c r="B30" s="19" t="s">
        <v>18</v>
      </c>
      <c r="C30" s="26" t="s">
        <v>114</v>
      </c>
      <c r="D30" s="26" t="s">
        <v>23</v>
      </c>
      <c r="E30" s="26" t="s">
        <v>342</v>
      </c>
      <c r="F30" s="26"/>
      <c r="G30" s="26" t="s">
        <v>320</v>
      </c>
      <c r="H30" s="20">
        <v>1</v>
      </c>
    </row>
    <row r="31" spans="2:8" ht="19" customHeight="1">
      <c r="B31" s="21" t="s">
        <v>18</v>
      </c>
      <c r="C31" s="27" t="s">
        <v>114</v>
      </c>
      <c r="D31" s="27" t="s">
        <v>23</v>
      </c>
      <c r="E31" s="27" t="s">
        <v>343</v>
      </c>
      <c r="F31" s="27"/>
      <c r="G31" s="27" t="s">
        <v>320</v>
      </c>
      <c r="H31" s="22">
        <v>1</v>
      </c>
    </row>
    <row r="32" spans="2:8" ht="19" customHeight="1">
      <c r="B32" s="19" t="s">
        <v>18</v>
      </c>
      <c r="C32" s="26" t="s">
        <v>114</v>
      </c>
      <c r="D32" s="26" t="s">
        <v>23</v>
      </c>
      <c r="E32" s="26" t="s">
        <v>344</v>
      </c>
      <c r="F32" s="26"/>
      <c r="G32" s="26" t="s">
        <v>320</v>
      </c>
      <c r="H32" s="20">
        <v>1</v>
      </c>
    </row>
    <row r="33" spans="2:8" ht="19" customHeight="1">
      <c r="B33" s="21" t="s">
        <v>18</v>
      </c>
      <c r="C33" s="27" t="s">
        <v>114</v>
      </c>
      <c r="D33" s="27" t="s">
        <v>23</v>
      </c>
      <c r="E33" s="27" t="s">
        <v>345</v>
      </c>
      <c r="F33" s="27"/>
      <c r="G33" s="27" t="s">
        <v>320</v>
      </c>
      <c r="H33" s="22">
        <v>1</v>
      </c>
    </row>
    <row r="34" spans="2:8" ht="19" customHeight="1">
      <c r="B34" s="19" t="s">
        <v>18</v>
      </c>
      <c r="C34" s="26" t="s">
        <v>114</v>
      </c>
      <c r="D34" s="26" t="s">
        <v>23</v>
      </c>
      <c r="E34" s="26" t="s">
        <v>346</v>
      </c>
      <c r="F34" s="26"/>
      <c r="G34" s="26" t="s">
        <v>320</v>
      </c>
      <c r="H34" s="20">
        <v>1</v>
      </c>
    </row>
    <row r="35" spans="2:8" ht="19" customHeight="1">
      <c r="B35" s="21" t="s">
        <v>18</v>
      </c>
      <c r="C35" s="27" t="s">
        <v>114</v>
      </c>
      <c r="D35" s="27" t="s">
        <v>23</v>
      </c>
      <c r="E35" s="27" t="s">
        <v>347</v>
      </c>
      <c r="F35" s="27"/>
      <c r="G35" s="27" t="s">
        <v>320</v>
      </c>
      <c r="H35" s="22">
        <v>1</v>
      </c>
    </row>
    <row r="36" spans="2:8" ht="19" customHeight="1">
      <c r="B36" s="19" t="s">
        <v>18</v>
      </c>
      <c r="C36" s="26" t="s">
        <v>114</v>
      </c>
      <c r="D36" s="26" t="s">
        <v>23</v>
      </c>
      <c r="E36" s="26" t="s">
        <v>348</v>
      </c>
      <c r="F36" s="26"/>
      <c r="G36" s="26" t="s">
        <v>320</v>
      </c>
      <c r="H36" s="20">
        <v>1</v>
      </c>
    </row>
    <row r="37" spans="2:8" ht="19" customHeight="1">
      <c r="B37" s="21" t="s">
        <v>18</v>
      </c>
      <c r="C37" s="27" t="s">
        <v>349</v>
      </c>
      <c r="D37" s="27" t="s">
        <v>22</v>
      </c>
      <c r="E37" s="27" t="s">
        <v>350</v>
      </c>
      <c r="F37" s="27"/>
      <c r="G37" s="27" t="s">
        <v>351</v>
      </c>
      <c r="H37" s="22">
        <v>1</v>
      </c>
    </row>
    <row r="38" spans="2:8" ht="19" customHeight="1">
      <c r="B38" s="19" t="s">
        <v>18</v>
      </c>
      <c r="C38" s="26" t="s">
        <v>349</v>
      </c>
      <c r="D38" s="26" t="s">
        <v>22</v>
      </c>
      <c r="E38" s="26" t="s">
        <v>350</v>
      </c>
      <c r="F38" s="26"/>
      <c r="G38" s="26" t="s">
        <v>351</v>
      </c>
      <c r="H38" s="20">
        <v>1</v>
      </c>
    </row>
    <row r="39" spans="2:8" ht="19" customHeight="1">
      <c r="B39" s="21" t="s">
        <v>18</v>
      </c>
      <c r="C39" s="27" t="s">
        <v>349</v>
      </c>
      <c r="D39" s="27" t="s">
        <v>22</v>
      </c>
      <c r="E39" s="27" t="s">
        <v>350</v>
      </c>
      <c r="F39" s="27"/>
      <c r="G39" s="27" t="s">
        <v>351</v>
      </c>
      <c r="H39" s="22">
        <v>1</v>
      </c>
    </row>
    <row r="40" spans="2:8" ht="19" customHeight="1">
      <c r="B40" s="19" t="s">
        <v>18</v>
      </c>
      <c r="C40" s="26" t="s">
        <v>349</v>
      </c>
      <c r="D40" s="26" t="s">
        <v>22</v>
      </c>
      <c r="E40" s="26" t="s">
        <v>350</v>
      </c>
      <c r="F40" s="26"/>
      <c r="G40" s="26" t="s">
        <v>351</v>
      </c>
      <c r="H40" s="20">
        <v>1</v>
      </c>
    </row>
    <row r="41" spans="2:8" ht="19" customHeight="1">
      <c r="B41" s="21" t="s">
        <v>18</v>
      </c>
      <c r="C41" s="27" t="s">
        <v>349</v>
      </c>
      <c r="D41" s="27" t="s">
        <v>22</v>
      </c>
      <c r="E41" s="27" t="s">
        <v>350</v>
      </c>
      <c r="F41" s="27"/>
      <c r="G41" s="27" t="s">
        <v>351</v>
      </c>
      <c r="H41" s="22">
        <v>1</v>
      </c>
    </row>
    <row r="42" spans="2:8" ht="19" customHeight="1">
      <c r="B42" s="19" t="s">
        <v>18</v>
      </c>
      <c r="C42" s="26" t="s">
        <v>349</v>
      </c>
      <c r="D42" s="26" t="s">
        <v>22</v>
      </c>
      <c r="E42" s="26" t="s">
        <v>350</v>
      </c>
      <c r="F42" s="26"/>
      <c r="G42" s="26" t="s">
        <v>351</v>
      </c>
      <c r="H42" s="20">
        <v>1</v>
      </c>
    </row>
    <row r="43" spans="2:8" ht="19" customHeight="1">
      <c r="B43" s="21" t="s">
        <v>18</v>
      </c>
      <c r="C43" s="27" t="s">
        <v>349</v>
      </c>
      <c r="D43" s="27" t="s">
        <v>22</v>
      </c>
      <c r="E43" s="27" t="s">
        <v>350</v>
      </c>
      <c r="F43" s="27"/>
      <c r="G43" s="27" t="s">
        <v>351</v>
      </c>
      <c r="H43" s="22">
        <v>1</v>
      </c>
    </row>
    <row r="44" spans="2:8" ht="19" customHeight="1">
      <c r="B44" s="19" t="s">
        <v>18</v>
      </c>
      <c r="C44" s="26" t="s">
        <v>349</v>
      </c>
      <c r="D44" s="26" t="s">
        <v>22</v>
      </c>
      <c r="E44" s="26" t="s">
        <v>350</v>
      </c>
      <c r="F44" s="26"/>
      <c r="G44" s="26" t="s">
        <v>351</v>
      </c>
      <c r="H44" s="20">
        <v>1</v>
      </c>
    </row>
    <row r="45" spans="2:8" ht="19" customHeight="1">
      <c r="B45" s="21" t="s">
        <v>18</v>
      </c>
      <c r="C45" s="27" t="s">
        <v>349</v>
      </c>
      <c r="D45" s="27" t="s">
        <v>22</v>
      </c>
      <c r="E45" s="27" t="s">
        <v>350</v>
      </c>
      <c r="F45" s="27"/>
      <c r="G45" s="27" t="s">
        <v>351</v>
      </c>
      <c r="H45" s="22">
        <v>1</v>
      </c>
    </row>
    <row r="46" spans="2:8" ht="19" customHeight="1">
      <c r="B46" s="19" t="s">
        <v>18</v>
      </c>
      <c r="C46" s="26" t="s">
        <v>349</v>
      </c>
      <c r="D46" s="26" t="s">
        <v>22</v>
      </c>
      <c r="E46" s="26" t="s">
        <v>350</v>
      </c>
      <c r="F46" s="26"/>
      <c r="G46" s="26" t="s">
        <v>351</v>
      </c>
      <c r="H46" s="20">
        <v>1</v>
      </c>
    </row>
    <row r="47" spans="2:8" ht="19" customHeight="1">
      <c r="B47" s="21" t="s">
        <v>18</v>
      </c>
      <c r="C47" s="27" t="s">
        <v>349</v>
      </c>
      <c r="D47" s="27" t="s">
        <v>22</v>
      </c>
      <c r="E47" s="27" t="s">
        <v>350</v>
      </c>
      <c r="F47" s="27"/>
      <c r="G47" s="27" t="s">
        <v>351</v>
      </c>
      <c r="H47" s="22">
        <v>1</v>
      </c>
    </row>
    <row r="48" spans="2:8" ht="19" customHeight="1">
      <c r="B48" s="19" t="s">
        <v>18</v>
      </c>
      <c r="C48" s="26" t="s">
        <v>349</v>
      </c>
      <c r="D48" s="26" t="s">
        <v>22</v>
      </c>
      <c r="E48" s="26" t="s">
        <v>350</v>
      </c>
      <c r="F48" s="26"/>
      <c r="G48" s="26" t="s">
        <v>351</v>
      </c>
      <c r="H48" s="20">
        <v>1</v>
      </c>
    </row>
    <row r="49" spans="2:8" ht="19" customHeight="1">
      <c r="B49" s="21" t="s">
        <v>18</v>
      </c>
      <c r="C49" s="27" t="s">
        <v>349</v>
      </c>
      <c r="D49" s="27" t="s">
        <v>22</v>
      </c>
      <c r="E49" s="27" t="s">
        <v>350</v>
      </c>
      <c r="F49" s="27"/>
      <c r="G49" s="27" t="s">
        <v>351</v>
      </c>
      <c r="H49" s="22">
        <v>1</v>
      </c>
    </row>
    <row r="50" spans="2:8" ht="19" customHeight="1">
      <c r="B50" s="19" t="s">
        <v>18</v>
      </c>
      <c r="C50" s="26" t="s">
        <v>349</v>
      </c>
      <c r="D50" s="26" t="s">
        <v>22</v>
      </c>
      <c r="E50" s="26" t="s">
        <v>350</v>
      </c>
      <c r="F50" s="26"/>
      <c r="G50" s="26" t="s">
        <v>351</v>
      </c>
      <c r="H50" s="20">
        <v>1</v>
      </c>
    </row>
    <row r="51" spans="2:8" ht="19" customHeight="1">
      <c r="B51" s="21" t="s">
        <v>18</v>
      </c>
      <c r="C51" s="27" t="s">
        <v>349</v>
      </c>
      <c r="D51" s="27" t="s">
        <v>22</v>
      </c>
      <c r="E51" s="27" t="s">
        <v>350</v>
      </c>
      <c r="F51" s="27"/>
      <c r="G51" s="27" t="s">
        <v>351</v>
      </c>
      <c r="H51" s="22">
        <v>1</v>
      </c>
    </row>
    <row r="52" spans="2:8" ht="19" customHeight="1">
      <c r="B52" s="19" t="s">
        <v>18</v>
      </c>
      <c r="C52" s="26" t="s">
        <v>349</v>
      </c>
      <c r="D52" s="26" t="s">
        <v>22</v>
      </c>
      <c r="E52" s="26" t="s">
        <v>350</v>
      </c>
      <c r="F52" s="26"/>
      <c r="G52" s="26" t="s">
        <v>351</v>
      </c>
      <c r="H52" s="20">
        <v>1</v>
      </c>
    </row>
    <row r="53" spans="2:8" ht="19" customHeight="1">
      <c r="B53" s="21" t="s">
        <v>18</v>
      </c>
      <c r="C53" s="27" t="s">
        <v>349</v>
      </c>
      <c r="D53" s="27" t="s">
        <v>22</v>
      </c>
      <c r="E53" s="27" t="s">
        <v>350</v>
      </c>
      <c r="F53" s="27"/>
      <c r="G53" s="27" t="s">
        <v>351</v>
      </c>
      <c r="H53" s="22">
        <v>1</v>
      </c>
    </row>
    <row r="54" spans="2:8" ht="19" customHeight="1">
      <c r="B54" s="19" t="s">
        <v>18</v>
      </c>
      <c r="C54" s="26" t="s">
        <v>349</v>
      </c>
      <c r="D54" s="26" t="s">
        <v>22</v>
      </c>
      <c r="E54" s="26" t="s">
        <v>350</v>
      </c>
      <c r="F54" s="26"/>
      <c r="G54" s="26" t="s">
        <v>351</v>
      </c>
      <c r="H54" s="20">
        <v>1</v>
      </c>
    </row>
    <row r="55" spans="2:8" ht="19" customHeight="1">
      <c r="B55" s="21" t="s">
        <v>18</v>
      </c>
      <c r="C55" s="27" t="s">
        <v>349</v>
      </c>
      <c r="D55" s="27" t="s">
        <v>22</v>
      </c>
      <c r="E55" s="27" t="s">
        <v>350</v>
      </c>
      <c r="F55" s="27"/>
      <c r="G55" s="27" t="s">
        <v>351</v>
      </c>
      <c r="H55" s="22">
        <v>1</v>
      </c>
    </row>
    <row r="56" spans="2:8" ht="19" customHeight="1">
      <c r="B56" s="19" t="s">
        <v>18</v>
      </c>
      <c r="C56" s="26" t="s">
        <v>349</v>
      </c>
      <c r="D56" s="26" t="s">
        <v>22</v>
      </c>
      <c r="E56" s="26" t="s">
        <v>350</v>
      </c>
      <c r="F56" s="26"/>
      <c r="G56" s="26" t="s">
        <v>351</v>
      </c>
      <c r="H56" s="20">
        <v>1</v>
      </c>
    </row>
    <row r="57" spans="2:8" ht="19" customHeight="1">
      <c r="B57" s="21" t="s">
        <v>18</v>
      </c>
      <c r="C57" s="27" t="s">
        <v>349</v>
      </c>
      <c r="D57" s="27" t="s">
        <v>22</v>
      </c>
      <c r="E57" s="27" t="s">
        <v>350</v>
      </c>
      <c r="F57" s="27"/>
      <c r="G57" s="27" t="s">
        <v>351</v>
      </c>
      <c r="H57" s="22">
        <v>1</v>
      </c>
    </row>
    <row r="58" spans="2:8" ht="19" customHeight="1">
      <c r="B58" s="19" t="s">
        <v>18</v>
      </c>
      <c r="C58" s="26" t="s">
        <v>349</v>
      </c>
      <c r="D58" s="26" t="s">
        <v>22</v>
      </c>
      <c r="E58" s="26" t="s">
        <v>350</v>
      </c>
      <c r="F58" s="26"/>
      <c r="G58" s="26" t="s">
        <v>351</v>
      </c>
      <c r="H58" s="20">
        <v>1</v>
      </c>
    </row>
    <row r="59" spans="2:8" ht="19" customHeight="1">
      <c r="B59" s="21" t="s">
        <v>18</v>
      </c>
      <c r="C59" s="27" t="s">
        <v>349</v>
      </c>
      <c r="D59" s="27" t="s">
        <v>22</v>
      </c>
      <c r="E59" s="27" t="s">
        <v>350</v>
      </c>
      <c r="F59" s="27"/>
      <c r="G59" s="27" t="s">
        <v>351</v>
      </c>
      <c r="H59" s="22">
        <v>1</v>
      </c>
    </row>
    <row r="60" spans="2:8" ht="19" customHeight="1">
      <c r="B60" s="19" t="s">
        <v>18</v>
      </c>
      <c r="C60" s="26" t="s">
        <v>349</v>
      </c>
      <c r="D60" s="26" t="s">
        <v>22</v>
      </c>
      <c r="E60" s="26" t="s">
        <v>350</v>
      </c>
      <c r="F60" s="26"/>
      <c r="G60" s="26" t="s">
        <v>351</v>
      </c>
      <c r="H60" s="20">
        <v>1</v>
      </c>
    </row>
    <row r="61" spans="2:8" ht="19" customHeight="1">
      <c r="B61" s="21" t="s">
        <v>18</v>
      </c>
      <c r="C61" s="27" t="s">
        <v>349</v>
      </c>
      <c r="D61" s="27" t="s">
        <v>22</v>
      </c>
      <c r="E61" s="27" t="s">
        <v>350</v>
      </c>
      <c r="F61" s="27"/>
      <c r="G61" s="27" t="s">
        <v>351</v>
      </c>
      <c r="H61" s="22">
        <v>1</v>
      </c>
    </row>
    <row r="62" spans="2:8" ht="19" customHeight="1">
      <c r="B62" s="19" t="s">
        <v>18</v>
      </c>
      <c r="C62" s="26" t="s">
        <v>349</v>
      </c>
      <c r="D62" s="26" t="s">
        <v>22</v>
      </c>
      <c r="E62" s="26" t="s">
        <v>350</v>
      </c>
      <c r="F62" s="26"/>
      <c r="G62" s="26" t="s">
        <v>351</v>
      </c>
      <c r="H62" s="20">
        <v>1</v>
      </c>
    </row>
    <row r="63" spans="2:8" ht="19" customHeight="1">
      <c r="B63" s="21" t="s">
        <v>18</v>
      </c>
      <c r="C63" s="27" t="s">
        <v>349</v>
      </c>
      <c r="D63" s="27" t="s">
        <v>22</v>
      </c>
      <c r="E63" s="27" t="s">
        <v>350</v>
      </c>
      <c r="F63" s="27"/>
      <c r="G63" s="27" t="s">
        <v>351</v>
      </c>
      <c r="H63" s="22">
        <v>1</v>
      </c>
    </row>
    <row r="64" spans="2:8" ht="19" customHeight="1">
      <c r="B64" s="19" t="s">
        <v>18</v>
      </c>
      <c r="C64" s="26" t="s">
        <v>349</v>
      </c>
      <c r="D64" s="26" t="s">
        <v>22</v>
      </c>
      <c r="E64" s="26" t="s">
        <v>350</v>
      </c>
      <c r="F64" s="26"/>
      <c r="G64" s="26" t="s">
        <v>351</v>
      </c>
      <c r="H64" s="20">
        <v>1</v>
      </c>
    </row>
    <row r="65" spans="2:8" ht="19" customHeight="1">
      <c r="B65" s="21" t="s">
        <v>18</v>
      </c>
      <c r="C65" s="27" t="s">
        <v>349</v>
      </c>
      <c r="D65" s="27" t="s">
        <v>22</v>
      </c>
      <c r="E65" s="27" t="s">
        <v>350</v>
      </c>
      <c r="F65" s="27"/>
      <c r="G65" s="27" t="s">
        <v>351</v>
      </c>
      <c r="H65" s="22">
        <v>1</v>
      </c>
    </row>
    <row r="66" spans="2:8" ht="19" customHeight="1">
      <c r="B66" s="19" t="s">
        <v>18</v>
      </c>
      <c r="C66" s="26" t="s">
        <v>349</v>
      </c>
      <c r="D66" s="26" t="s">
        <v>22</v>
      </c>
      <c r="E66" s="26" t="s">
        <v>350</v>
      </c>
      <c r="F66" s="26"/>
      <c r="G66" s="26" t="s">
        <v>351</v>
      </c>
      <c r="H66" s="20">
        <v>1</v>
      </c>
    </row>
    <row r="67" spans="2:8" ht="19" customHeight="1">
      <c r="B67" s="21" t="s">
        <v>18</v>
      </c>
      <c r="C67" s="27" t="s">
        <v>349</v>
      </c>
      <c r="D67" s="27" t="s">
        <v>22</v>
      </c>
      <c r="E67" s="27" t="s">
        <v>350</v>
      </c>
      <c r="F67" s="27"/>
      <c r="G67" s="27" t="s">
        <v>351</v>
      </c>
      <c r="H67" s="22">
        <v>1</v>
      </c>
    </row>
    <row r="68" spans="2:8" ht="19" customHeight="1">
      <c r="B68" s="19" t="s">
        <v>18</v>
      </c>
      <c r="C68" s="26" t="s">
        <v>349</v>
      </c>
      <c r="D68" s="26" t="s">
        <v>22</v>
      </c>
      <c r="E68" s="26" t="s">
        <v>350</v>
      </c>
      <c r="F68" s="26"/>
      <c r="G68" s="26" t="s">
        <v>351</v>
      </c>
      <c r="H68" s="20">
        <v>1</v>
      </c>
    </row>
    <row r="69" spans="2:8" ht="19" customHeight="1">
      <c r="B69" s="21" t="s">
        <v>18</v>
      </c>
      <c r="C69" s="27" t="s">
        <v>349</v>
      </c>
      <c r="D69" s="27" t="s">
        <v>22</v>
      </c>
      <c r="E69" s="27" t="s">
        <v>350</v>
      </c>
      <c r="F69" s="27"/>
      <c r="G69" s="27" t="s">
        <v>351</v>
      </c>
      <c r="H69" s="22">
        <v>1</v>
      </c>
    </row>
    <row r="70" spans="2:8" ht="19" customHeight="1">
      <c r="B70" s="19" t="s">
        <v>18</v>
      </c>
      <c r="C70" s="26" t="s">
        <v>349</v>
      </c>
      <c r="D70" s="26" t="s">
        <v>22</v>
      </c>
      <c r="E70" s="26" t="s">
        <v>350</v>
      </c>
      <c r="F70" s="26"/>
      <c r="G70" s="26" t="s">
        <v>351</v>
      </c>
      <c r="H70" s="20">
        <v>1</v>
      </c>
    </row>
    <row r="71" spans="2:8" ht="19" customHeight="1">
      <c r="B71" s="21" t="s">
        <v>18</v>
      </c>
      <c r="C71" s="27" t="s">
        <v>349</v>
      </c>
      <c r="D71" s="27" t="s">
        <v>22</v>
      </c>
      <c r="E71" s="27" t="s">
        <v>350</v>
      </c>
      <c r="F71" s="27"/>
      <c r="G71" s="27" t="s">
        <v>351</v>
      </c>
      <c r="H71" s="22">
        <v>1</v>
      </c>
    </row>
    <row r="72" spans="2:8" ht="19" customHeight="1">
      <c r="B72" s="19" t="s">
        <v>18</v>
      </c>
      <c r="C72" s="26" t="s">
        <v>349</v>
      </c>
      <c r="D72" s="26" t="s">
        <v>22</v>
      </c>
      <c r="E72" s="26" t="s">
        <v>350</v>
      </c>
      <c r="F72" s="26"/>
      <c r="G72" s="26" t="s">
        <v>351</v>
      </c>
      <c r="H72" s="20">
        <v>1</v>
      </c>
    </row>
    <row r="73" spans="2:8" ht="19" customHeight="1">
      <c r="B73" s="21" t="s">
        <v>18</v>
      </c>
      <c r="C73" s="27" t="s">
        <v>349</v>
      </c>
      <c r="D73" s="27" t="s">
        <v>22</v>
      </c>
      <c r="E73" s="27" t="s">
        <v>350</v>
      </c>
      <c r="F73" s="27"/>
      <c r="G73" s="27" t="s">
        <v>351</v>
      </c>
      <c r="H73" s="22">
        <v>1</v>
      </c>
    </row>
    <row r="74" spans="2:8" ht="19" customHeight="1">
      <c r="B74" s="19" t="s">
        <v>18</v>
      </c>
      <c r="C74" s="26" t="s">
        <v>349</v>
      </c>
      <c r="D74" s="26" t="s">
        <v>22</v>
      </c>
      <c r="E74" s="26" t="s">
        <v>350</v>
      </c>
      <c r="F74" s="26"/>
      <c r="G74" s="26" t="s">
        <v>351</v>
      </c>
      <c r="H74" s="20">
        <v>1</v>
      </c>
    </row>
    <row r="75" spans="2:8" ht="19" customHeight="1">
      <c r="B75" s="21" t="s">
        <v>18</v>
      </c>
      <c r="C75" s="27" t="s">
        <v>349</v>
      </c>
      <c r="D75" s="27" t="s">
        <v>22</v>
      </c>
      <c r="E75" s="27" t="s">
        <v>350</v>
      </c>
      <c r="F75" s="27"/>
      <c r="G75" s="27" t="s">
        <v>351</v>
      </c>
      <c r="H75" s="22">
        <v>1</v>
      </c>
    </row>
    <row r="76" spans="2:8" ht="19" customHeight="1">
      <c r="B76" s="19" t="s">
        <v>18</v>
      </c>
      <c r="C76" s="26" t="s">
        <v>349</v>
      </c>
      <c r="D76" s="26" t="s">
        <v>22</v>
      </c>
      <c r="E76" s="26" t="s">
        <v>350</v>
      </c>
      <c r="F76" s="26"/>
      <c r="G76" s="26" t="s">
        <v>351</v>
      </c>
      <c r="H76" s="20">
        <v>1</v>
      </c>
    </row>
    <row r="77" spans="2:8" ht="19" customHeight="1">
      <c r="B77" s="21" t="s">
        <v>18</v>
      </c>
      <c r="C77" s="27" t="s">
        <v>349</v>
      </c>
      <c r="D77" s="27" t="s">
        <v>22</v>
      </c>
      <c r="E77" s="27" t="s">
        <v>350</v>
      </c>
      <c r="F77" s="27"/>
      <c r="G77" s="27" t="s">
        <v>351</v>
      </c>
      <c r="H77" s="22">
        <v>1</v>
      </c>
    </row>
    <row r="78" spans="2:8" ht="19" customHeight="1">
      <c r="B78" s="19" t="s">
        <v>18</v>
      </c>
      <c r="C78" s="26" t="s">
        <v>349</v>
      </c>
      <c r="D78" s="26" t="s">
        <v>22</v>
      </c>
      <c r="E78" s="26" t="s">
        <v>350</v>
      </c>
      <c r="F78" s="26"/>
      <c r="G78" s="26" t="s">
        <v>351</v>
      </c>
      <c r="H78" s="20">
        <v>1</v>
      </c>
    </row>
    <row r="79" spans="2:8" ht="19" customHeight="1">
      <c r="B79" s="21" t="s">
        <v>18</v>
      </c>
      <c r="C79" s="27" t="s">
        <v>349</v>
      </c>
      <c r="D79" s="27" t="s">
        <v>22</v>
      </c>
      <c r="E79" s="27" t="s">
        <v>350</v>
      </c>
      <c r="F79" s="27"/>
      <c r="G79" s="27" t="s">
        <v>351</v>
      </c>
      <c r="H79" s="22">
        <v>1</v>
      </c>
    </row>
    <row r="80" spans="2:8" ht="19" customHeight="1">
      <c r="B80" s="19" t="s">
        <v>18</v>
      </c>
      <c r="C80" s="26" t="s">
        <v>349</v>
      </c>
      <c r="D80" s="26" t="s">
        <v>22</v>
      </c>
      <c r="E80" s="26" t="s">
        <v>350</v>
      </c>
      <c r="F80" s="26"/>
      <c r="G80" s="26" t="s">
        <v>351</v>
      </c>
      <c r="H80" s="20">
        <v>1</v>
      </c>
    </row>
    <row r="81" spans="2:8" ht="19" customHeight="1">
      <c r="B81" s="21" t="s">
        <v>18</v>
      </c>
      <c r="C81" s="27" t="s">
        <v>349</v>
      </c>
      <c r="D81" s="27" t="s">
        <v>22</v>
      </c>
      <c r="E81" s="27" t="s">
        <v>350</v>
      </c>
      <c r="F81" s="27"/>
      <c r="G81" s="27" t="s">
        <v>351</v>
      </c>
      <c r="H81" s="22">
        <v>1</v>
      </c>
    </row>
    <row r="82" spans="2:8" ht="19" customHeight="1">
      <c r="B82" s="19" t="s">
        <v>18</v>
      </c>
      <c r="C82" s="26" t="s">
        <v>349</v>
      </c>
      <c r="D82" s="26" t="s">
        <v>22</v>
      </c>
      <c r="E82" s="26" t="s">
        <v>350</v>
      </c>
      <c r="F82" s="26"/>
      <c r="G82" s="26" t="s">
        <v>351</v>
      </c>
      <c r="H82" s="20">
        <v>1</v>
      </c>
    </row>
    <row r="83" spans="2:8" ht="19" customHeight="1">
      <c r="B83" s="21" t="s">
        <v>18</v>
      </c>
      <c r="C83" s="27" t="s">
        <v>349</v>
      </c>
      <c r="D83" s="27" t="s">
        <v>22</v>
      </c>
      <c r="E83" s="27" t="s">
        <v>350</v>
      </c>
      <c r="F83" s="27"/>
      <c r="G83" s="27" t="s">
        <v>351</v>
      </c>
      <c r="H83" s="22">
        <v>1</v>
      </c>
    </row>
    <row r="84" spans="2:8" ht="19" customHeight="1">
      <c r="B84" s="19" t="s">
        <v>18</v>
      </c>
      <c r="C84" s="26" t="s">
        <v>349</v>
      </c>
      <c r="D84" s="26" t="s">
        <v>22</v>
      </c>
      <c r="E84" s="26" t="s">
        <v>350</v>
      </c>
      <c r="F84" s="26"/>
      <c r="G84" s="26" t="s">
        <v>351</v>
      </c>
      <c r="H84" s="20">
        <v>1</v>
      </c>
    </row>
    <row r="85" spans="2:8" ht="19" customHeight="1">
      <c r="B85" s="21" t="s">
        <v>18</v>
      </c>
      <c r="C85" s="27" t="s">
        <v>349</v>
      </c>
      <c r="D85" s="27" t="s">
        <v>22</v>
      </c>
      <c r="E85" s="27" t="s">
        <v>350</v>
      </c>
      <c r="F85" s="27"/>
      <c r="G85" s="27" t="s">
        <v>351</v>
      </c>
      <c r="H85" s="22">
        <v>1</v>
      </c>
    </row>
    <row r="86" spans="2:8" ht="19" customHeight="1">
      <c r="B86" s="19" t="s">
        <v>18</v>
      </c>
      <c r="C86" s="26" t="s">
        <v>349</v>
      </c>
      <c r="D86" s="26" t="s">
        <v>22</v>
      </c>
      <c r="E86" s="26" t="s">
        <v>350</v>
      </c>
      <c r="F86" s="26"/>
      <c r="G86" s="26" t="s">
        <v>351</v>
      </c>
      <c r="H86" s="20">
        <v>1</v>
      </c>
    </row>
    <row r="87" spans="2:8" ht="19" customHeight="1">
      <c r="B87" s="21" t="s">
        <v>18</v>
      </c>
      <c r="C87" s="27" t="s">
        <v>349</v>
      </c>
      <c r="D87" s="27" t="s">
        <v>22</v>
      </c>
      <c r="E87" s="27" t="s">
        <v>350</v>
      </c>
      <c r="F87" s="27"/>
      <c r="G87" s="27" t="s">
        <v>351</v>
      </c>
      <c r="H87" s="22">
        <v>1</v>
      </c>
    </row>
    <row r="88" spans="2:8" ht="19" customHeight="1">
      <c r="B88" s="19" t="s">
        <v>18</v>
      </c>
      <c r="C88" s="26" t="s">
        <v>349</v>
      </c>
      <c r="D88" s="26" t="s">
        <v>22</v>
      </c>
      <c r="E88" s="26" t="s">
        <v>350</v>
      </c>
      <c r="F88" s="26"/>
      <c r="G88" s="26" t="s">
        <v>351</v>
      </c>
      <c r="H88" s="20">
        <v>1</v>
      </c>
    </row>
    <row r="89" spans="2:8" ht="19" customHeight="1">
      <c r="B89" s="21" t="s">
        <v>18</v>
      </c>
      <c r="C89" s="27" t="s">
        <v>349</v>
      </c>
      <c r="D89" s="27" t="s">
        <v>22</v>
      </c>
      <c r="E89" s="27" t="s">
        <v>350</v>
      </c>
      <c r="F89" s="27"/>
      <c r="G89" s="27" t="s">
        <v>351</v>
      </c>
      <c r="H89" s="22">
        <v>1</v>
      </c>
    </row>
    <row r="90" spans="2:8" ht="19" customHeight="1">
      <c r="B90" s="19" t="s">
        <v>18</v>
      </c>
      <c r="C90" s="26" t="s">
        <v>349</v>
      </c>
      <c r="D90" s="26" t="s">
        <v>22</v>
      </c>
      <c r="E90" s="26" t="s">
        <v>350</v>
      </c>
      <c r="F90" s="26"/>
      <c r="G90" s="26" t="s">
        <v>351</v>
      </c>
      <c r="H90" s="20">
        <v>1</v>
      </c>
    </row>
    <row r="91" spans="2:8" ht="19" customHeight="1">
      <c r="B91" s="21" t="s">
        <v>18</v>
      </c>
      <c r="C91" s="27" t="s">
        <v>349</v>
      </c>
      <c r="D91" s="27" t="s">
        <v>22</v>
      </c>
      <c r="E91" s="27" t="s">
        <v>350</v>
      </c>
      <c r="F91" s="27"/>
      <c r="G91" s="27" t="s">
        <v>351</v>
      </c>
      <c r="H91" s="22">
        <v>1</v>
      </c>
    </row>
    <row r="92" spans="2:8" ht="19" customHeight="1">
      <c r="B92" s="19" t="s">
        <v>18</v>
      </c>
      <c r="C92" s="26" t="s">
        <v>349</v>
      </c>
      <c r="D92" s="26" t="s">
        <v>22</v>
      </c>
      <c r="E92" s="26" t="s">
        <v>350</v>
      </c>
      <c r="F92" s="26"/>
      <c r="G92" s="26" t="s">
        <v>351</v>
      </c>
      <c r="H92" s="20">
        <v>1</v>
      </c>
    </row>
    <row r="93" spans="2:8" ht="19" customHeight="1">
      <c r="B93" s="21" t="s">
        <v>18</v>
      </c>
      <c r="C93" s="27" t="s">
        <v>349</v>
      </c>
      <c r="D93" s="27" t="s">
        <v>22</v>
      </c>
      <c r="E93" s="27" t="s">
        <v>350</v>
      </c>
      <c r="F93" s="27"/>
      <c r="G93" s="27" t="s">
        <v>351</v>
      </c>
      <c r="H93" s="22">
        <v>1</v>
      </c>
    </row>
    <row r="94" spans="2:8" ht="19" customHeight="1">
      <c r="B94" s="19" t="s">
        <v>18</v>
      </c>
      <c r="C94" s="26" t="s">
        <v>349</v>
      </c>
      <c r="D94" s="26" t="s">
        <v>22</v>
      </c>
      <c r="E94" s="26" t="s">
        <v>350</v>
      </c>
      <c r="F94" s="26"/>
      <c r="G94" s="26" t="s">
        <v>351</v>
      </c>
      <c r="H94" s="20">
        <v>1</v>
      </c>
    </row>
    <row r="95" spans="2:8" ht="19" customHeight="1">
      <c r="B95" s="21" t="s">
        <v>18</v>
      </c>
      <c r="C95" s="27" t="s">
        <v>349</v>
      </c>
      <c r="D95" s="27" t="s">
        <v>22</v>
      </c>
      <c r="E95" s="27" t="s">
        <v>350</v>
      </c>
      <c r="F95" s="27"/>
      <c r="G95" s="27" t="s">
        <v>351</v>
      </c>
      <c r="H95" s="22">
        <v>1</v>
      </c>
    </row>
    <row r="96" spans="2:8" ht="19" customHeight="1">
      <c r="B96" s="19" t="s">
        <v>18</v>
      </c>
      <c r="C96" s="26" t="s">
        <v>349</v>
      </c>
      <c r="D96" s="26" t="s">
        <v>22</v>
      </c>
      <c r="E96" s="26" t="s">
        <v>350</v>
      </c>
      <c r="F96" s="26"/>
      <c r="G96" s="26" t="s">
        <v>351</v>
      </c>
      <c r="H96" s="20">
        <v>1</v>
      </c>
    </row>
    <row r="97" spans="2:8" ht="19" customHeight="1">
      <c r="B97" s="21" t="s">
        <v>18</v>
      </c>
      <c r="C97" s="27" t="s">
        <v>349</v>
      </c>
      <c r="D97" s="27" t="s">
        <v>22</v>
      </c>
      <c r="E97" s="27" t="s">
        <v>350</v>
      </c>
      <c r="F97" s="27"/>
      <c r="G97" s="27" t="s">
        <v>351</v>
      </c>
      <c r="H97" s="22">
        <v>1</v>
      </c>
    </row>
    <row r="98" spans="2:8" ht="19" customHeight="1">
      <c r="B98" s="19" t="s">
        <v>18</v>
      </c>
      <c r="C98" s="26" t="s">
        <v>349</v>
      </c>
      <c r="D98" s="26" t="s">
        <v>22</v>
      </c>
      <c r="E98" s="26" t="s">
        <v>350</v>
      </c>
      <c r="F98" s="26"/>
      <c r="G98" s="26" t="s">
        <v>351</v>
      </c>
      <c r="H98" s="20">
        <v>1</v>
      </c>
    </row>
    <row r="99" spans="2:8" ht="19" customHeight="1">
      <c r="B99" s="21" t="s">
        <v>18</v>
      </c>
      <c r="C99" s="27" t="s">
        <v>349</v>
      </c>
      <c r="D99" s="27" t="s">
        <v>22</v>
      </c>
      <c r="E99" s="27" t="s">
        <v>350</v>
      </c>
      <c r="F99" s="27"/>
      <c r="G99" s="27" t="s">
        <v>351</v>
      </c>
      <c r="H99" s="22">
        <v>1</v>
      </c>
    </row>
    <row r="100" spans="2:8" ht="19" customHeight="1">
      <c r="B100" s="19" t="s">
        <v>20</v>
      </c>
      <c r="C100" s="26" t="s">
        <v>20</v>
      </c>
      <c r="D100" s="26" t="s">
        <v>23</v>
      </c>
      <c r="E100" s="26" t="s">
        <v>352</v>
      </c>
      <c r="F100" s="26"/>
      <c r="G100" s="26" t="s">
        <v>320</v>
      </c>
      <c r="H100" s="20">
        <v>1</v>
      </c>
    </row>
    <row r="101" spans="2:8" ht="19" customHeight="1">
      <c r="B101" s="21" t="s">
        <v>20</v>
      </c>
      <c r="C101" s="27" t="s">
        <v>20</v>
      </c>
      <c r="D101" s="27" t="s">
        <v>22</v>
      </c>
      <c r="E101" s="27" t="s">
        <v>353</v>
      </c>
      <c r="F101" s="27"/>
      <c r="G101" s="27" t="s">
        <v>320</v>
      </c>
      <c r="H101" s="22">
        <v>1</v>
      </c>
    </row>
    <row r="102" spans="2:8" ht="19" customHeight="1">
      <c r="B102" s="19" t="s">
        <v>20</v>
      </c>
      <c r="C102" s="26" t="s">
        <v>210</v>
      </c>
      <c r="D102" s="26" t="s">
        <v>23</v>
      </c>
      <c r="E102" s="26" t="s">
        <v>354</v>
      </c>
      <c r="F102" s="26"/>
      <c r="G102" s="26" t="s">
        <v>320</v>
      </c>
      <c r="H102" s="20">
        <v>1</v>
      </c>
    </row>
    <row r="103" spans="2:8" ht="19" customHeight="1">
      <c r="B103" s="21" t="s">
        <v>20</v>
      </c>
      <c r="C103" s="27" t="s">
        <v>210</v>
      </c>
      <c r="D103" s="27" t="s">
        <v>23</v>
      </c>
      <c r="E103" s="27" t="s">
        <v>355</v>
      </c>
      <c r="F103" s="27"/>
      <c r="G103" s="27" t="s">
        <v>320</v>
      </c>
      <c r="H103" s="22">
        <v>1</v>
      </c>
    </row>
    <row r="104" spans="2:8" ht="19" customHeight="1">
      <c r="B104" s="19" t="s">
        <v>20</v>
      </c>
      <c r="C104" s="26" t="s">
        <v>210</v>
      </c>
      <c r="D104" s="26" t="s">
        <v>23</v>
      </c>
      <c r="E104" s="26" t="s">
        <v>356</v>
      </c>
      <c r="F104" s="26"/>
      <c r="G104" s="26" t="s">
        <v>320</v>
      </c>
      <c r="H104" s="20">
        <v>1</v>
      </c>
    </row>
    <row r="105" spans="2:8" ht="19" customHeight="1">
      <c r="B105" s="21" t="s">
        <v>20</v>
      </c>
      <c r="C105" s="27" t="s">
        <v>210</v>
      </c>
      <c r="D105" s="27" t="s">
        <v>23</v>
      </c>
      <c r="E105" s="27" t="s">
        <v>357</v>
      </c>
      <c r="F105" s="27"/>
      <c r="G105" s="27" t="s">
        <v>320</v>
      </c>
      <c r="H105" s="22">
        <v>1</v>
      </c>
    </row>
    <row r="106" spans="2:8" ht="19" customHeight="1">
      <c r="B106" s="19" t="s">
        <v>20</v>
      </c>
      <c r="C106" s="26" t="s">
        <v>210</v>
      </c>
      <c r="D106" s="26" t="s">
        <v>23</v>
      </c>
      <c r="E106" s="26" t="s">
        <v>348</v>
      </c>
      <c r="F106" s="26"/>
      <c r="G106" s="26" t="s">
        <v>320</v>
      </c>
      <c r="H106" s="20">
        <v>1</v>
      </c>
    </row>
  </sheetData>
  <autoFilter ref="B7:H106"/>
  <printOptions horizontalCentered="1"/>
  <pageMargins left="0.35" right="0.35" top="0.6" bottom="0.55" header="0.3" footer="0.3"/>
  <pageSetup paperSize="9" fitToHeight="0" orientation="landscape"/>
  <headerFooter>
    <oddHeader>&amp;L&amp;"Century Gothic,Bold"&amp;9&amp;K512F8DMinisterio de Trabajo y Desarrollo Humano&amp;R&amp;"Calibri,Regular"&amp;9&amp;K5A5765Del 14/09/2026 al 26/10/2026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5A5765"/>
    <pageSetUpPr fitToPage="1"/>
  </sheetPr>
  <dimension ref="A1:D17"/>
  <sheetViews>
    <sheetView showGridLines="0" workbookViewId="0"/>
  </sheetViews>
  <sheetFormatPr defaultRowHeight="15"/>
  <cols>
    <col min="1" max="1" width="3.140625" customWidth="1"/>
    <col min="2" max="2" width="34.7109375" customWidth="1"/>
    <col min="3" max="3" width="112.7109375" customWidth="1"/>
    <col min="4" max="4" width="3.140625" customWidth="1"/>
  </cols>
  <sheetData>
    <row r="1" spans="1:4" ht="12" customHeight="1">
      <c r="A1" s="1"/>
      <c r="B1" s="1"/>
      <c r="C1" s="1"/>
      <c r="D1" s="1"/>
    </row>
    <row r="2" spans="1:4" ht="40" customHeight="1">
      <c r="A2" s="1"/>
      <c r="B2" s="2" t="s">
        <v>358</v>
      </c>
      <c r="C2" s="1"/>
      <c r="D2" s="1"/>
    </row>
    <row r="3" spans="1:4" ht="22" customHeight="1">
      <c r="A3" s="1"/>
      <c r="B3" s="3" t="s">
        <v>1</v>
      </c>
      <c r="C3" s="1"/>
      <c r="D3" s="1"/>
    </row>
    <row r="4" spans="1:4" ht="20" customHeight="1">
      <c r="A4" s="1"/>
      <c r="B4" s="4" t="s">
        <v>2</v>
      </c>
      <c r="C4" s="1"/>
      <c r="D4" s="1"/>
    </row>
    <row r="5" spans="1:4" ht="5" customHeight="1">
      <c r="A5" s="5"/>
      <c r="B5" s="5"/>
      <c r="C5" s="5"/>
      <c r="D5" s="5"/>
    </row>
    <row r="6" spans="1:4" ht="32" customHeight="1">
      <c r="B6" s="36" t="s">
        <v>359</v>
      </c>
      <c r="C6" s="37" t="s">
        <v>4</v>
      </c>
    </row>
    <row r="7" spans="1:4" ht="32" customHeight="1">
      <c r="B7" s="36" t="s">
        <v>360</v>
      </c>
      <c r="C7" s="37" t="s">
        <v>361</v>
      </c>
    </row>
    <row r="8" spans="1:4" ht="32" customHeight="1">
      <c r="B8" s="36" t="s">
        <v>362</v>
      </c>
      <c r="C8" s="37" t="s">
        <v>363</v>
      </c>
    </row>
    <row r="9" spans="1:4" ht="42" customHeight="1">
      <c r="B9" s="36" t="s">
        <v>364</v>
      </c>
      <c r="C9" s="37" t="s">
        <v>365</v>
      </c>
    </row>
    <row r="10" spans="1:4" ht="42" customHeight="1">
      <c r="B10" s="36" t="s">
        <v>366</v>
      </c>
      <c r="C10" s="37" t="s">
        <v>32</v>
      </c>
    </row>
    <row r="11" spans="1:4" ht="32" customHeight="1">
      <c r="B11" s="36" t="s">
        <v>367</v>
      </c>
      <c r="C11" s="37" t="s">
        <v>368</v>
      </c>
    </row>
    <row r="12" spans="1:4" ht="87" customHeight="1">
      <c r="B12" s="36" t="s">
        <v>369</v>
      </c>
      <c r="C12" s="37" t="s">
        <v>317</v>
      </c>
    </row>
    <row r="13" spans="1:4" ht="87" customHeight="1">
      <c r="B13" s="36" t="s">
        <v>25</v>
      </c>
      <c r="C13" s="37" t="s">
        <v>370</v>
      </c>
    </row>
    <row r="14" spans="1:4" ht="57" customHeight="1">
      <c r="B14" s="36" t="s">
        <v>371</v>
      </c>
      <c r="C14" s="37" t="s">
        <v>372</v>
      </c>
    </row>
    <row r="15" spans="1:4" ht="72" customHeight="1">
      <c r="B15" s="36" t="s">
        <v>141</v>
      </c>
      <c r="C15" s="37" t="s">
        <v>185</v>
      </c>
    </row>
    <row r="16" spans="1:4" ht="72" customHeight="1">
      <c r="B16" s="36" t="s">
        <v>373</v>
      </c>
      <c r="C16" s="37" t="s">
        <v>374</v>
      </c>
    </row>
    <row r="17" spans="2:3" ht="57" customHeight="1">
      <c r="B17" s="36" t="s">
        <v>375</v>
      </c>
      <c r="C17" s="37" t="s">
        <v>376</v>
      </c>
    </row>
  </sheetData>
  <printOptions horizontalCentered="1"/>
  <pageMargins left="0.35" right="0.35" top="0.6" bottom="0.55" header="0.3" footer="0.3"/>
  <pageSetup paperSize="9" fitToHeight="0" orientation="portrait"/>
  <headerFooter>
    <oddHeader>&amp;L&amp;"Century Gothic,Bold"&amp;9&amp;K512F8DMinisterio de Trabajo y Desarrollo Humano&amp;R&amp;"Calibri,Regular"&amp;9&amp;K5A5765Del 14/09/2026 al 26/10/2026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2</vt:i4>
      </vt:variant>
    </vt:vector>
  </HeadingPairs>
  <TitlesOfParts>
    <vt:vector size="9" baseType="lpstr">
      <vt:lpstr>Resumen</vt:lpstr>
      <vt:lpstr>Evolución</vt:lpstr>
      <vt:lpstr>Alertas</vt:lpstr>
      <vt:lpstr>Provincias</vt:lpstr>
      <vt:lpstr>Kits y bono</vt:lpstr>
      <vt:lpstr>Unidades suspendidas</vt:lpstr>
      <vt:lpstr>Ficha técnica</vt:lpstr>
      <vt:lpstr>'Ficha técnica'!Print_Area</vt:lpstr>
      <vt:lpstr>Resumen!Print_Area</vt:lpstr>
    </vt:vector>
  </TitlesOfParts>
  <Manager>InfoReport</Manager>
  <Company>Ministerio de Trabajo y Desarrollo Humano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Riesgos · Respuesta del Ministerio</dc:title>
  <dc:subject>Riesgos · Del 14/09/2026 al 26/10/2026 · Nacional</dc:subject>
  <dc:creator>Ministerio de Trabajo y Desarrollo Humano</dc:creator>
  <cp:keywords>MTDH, InfoReport, indicadores</cp:keywords>
  <cp:lastModifiedBy>Ministerio de Trabajo y Desarrollo Humano</cp:lastModifiedBy>
  <dcterms:created xsi:type="dcterms:W3CDTF">2026-10-26T22:54:23Z</dcterms:created>
  <dcterms:modified xsi:type="dcterms:W3CDTF">2026-10-26T22:54:23Z</dcterms:modified>
  <cp:category>Indicadores estratégicos</cp:category>
</cp:coreProperties>
</file>