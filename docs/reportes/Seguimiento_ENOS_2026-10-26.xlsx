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Alertas!$B$8:$K$47</definedName>
    <definedName name="_xlnm._FilterDatabase" localSheetId="5" hidden="1">'Entregas Kobo'!$B$10:$H$90</definedName>
    <definedName name="_xlnm._FilterDatabase" localSheetId="3" hidden="1">Evolución!$B$8:$D$38</definedName>
    <definedName name="_xlnm._FilterDatabase" localSheetId="7" hidden="1">Provincias!$B$8:$H$29</definedName>
    <definedName name="_xlnm._FilterDatabase" localSheetId="1" hidden="1">'Unidades suspendidas'!$B$8:$G$107</definedName>
    <definedName name="_xlnm.Print_Area" localSheetId="8">'Ficha técnica'!$A$1:$D$17</definedName>
    <definedName name="_xlnm.Print_Area" localSheetId="0">Resumen!$A$1:$Q$74</definedName>
  </definedNames>
  <calcPr calcId="124519" fullCalcOnLoad="1"/>
</workbook>
</file>

<file path=xl/sharedStrings.xml><?xml version="1.0" encoding="utf-8"?>
<sst xmlns="http://schemas.openxmlformats.org/spreadsheetml/2006/main" count="1328" uniqueCount="397">
  <si>
    <t>Riesgos</t>
  </si>
  <si>
    <t>Del 28/09/2026 al 27/10/2026 · Nacional · Todos los servicios</t>
  </si>
  <si>
    <t>Respuesta al 27/10/2026</t>
  </si>
  <si>
    <t>Cifras clave</t>
  </si>
  <si>
    <t>Del 28/09/2026 al 27/10/2026</t>
  </si>
  <si>
    <t>Alertas reportadas</t>
  </si>
  <si>
    <t>Registro y reportes sectoriales</t>
  </si>
  <si>
    <t>Kits entregados</t>
  </si>
  <si>
    <t>21 provincias priorizadas · corte 27/10, 13:35</t>
  </si>
  <si>
    <t>Personas · Bono de Contingencia</t>
  </si>
  <si>
    <t>En articulación para el pago</t>
  </si>
  <si>
    <t>Monto · Bono de Contingencia</t>
  </si>
  <si>
    <t>Corte del bono: 27/10/2026</t>
  </si>
  <si>
    <t>Unidades cerradas / suspendidas</t>
  </si>
  <si>
    <t>64 CNH · 35 CDI · corte 26/10/2026</t>
  </si>
  <si>
    <t>Continuidad de los servicios</t>
  </si>
  <si>
    <t>99 UA suspendidas · corte territorial: 26/10/2026, 16:00</t>
  </si>
  <si>
    <t>Por servicio</t>
  </si>
  <si>
    <t>Servicio</t>
  </si>
  <si>
    <t>UA suspendidas</t>
  </si>
  <si>
    <t>Participación</t>
  </si>
  <si>
    <t>CNH</t>
  </si>
  <si>
    <t>CDI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</si>
  <si>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</si>
  <si>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</si>
  <si>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</si>
  <si>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</si>
  <si>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</si>
  <si>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</si>
  <si>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</si>
  <si>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39 alertas reportada · desde el 28/09/2026</t>
  </si>
  <si>
    <t>Aspectos destacados</t>
  </si>
  <si>
    <t>99 unidades de atención con atención suspendida (64 CNH · 35 CDI); El Oro concentra 75 (75,8 %).</t>
  </si>
  <si>
    <t>39 alertas reportadas: 10 con código UA y 29 reportes sectoriales.</t>
  </si>
  <si>
    <t>10.607 kits en 21 provincias priorizadas; corte 27/10/2026.</t>
  </si>
  <si>
    <t>1.171 personas en articulación del bono de contingencia: USD 354.987,39.</t>
  </si>
  <si>
    <t>Unidades de atención suspendidas</t>
  </si>
  <si>
    <t>99 unidades suspendidas</t>
  </si>
  <si>
    <t>Unidades con suspensión reportada al 26/10/2026, 16:00. Este indicador corresponde a ese corte territorial.</t>
  </si>
  <si>
    <t>Cantón</t>
  </si>
  <si>
    <t>Unidad de atención</t>
  </si>
  <si>
    <t>Estado de atención</t>
  </si>
  <si>
    <t>Unidades</t>
  </si>
  <si>
    <t>El Guabo</t>
  </si>
  <si>
    <t>Caritas Alegres</t>
  </si>
  <si>
    <t>Suspendida</t>
  </si>
  <si>
    <t>Dina Verdi</t>
  </si>
  <si>
    <t>Estrellita de Mar</t>
  </si>
  <si>
    <t>Gotitas de Amor</t>
  </si>
  <si>
    <t>Milagritos de Dios</t>
  </si>
  <si>
    <t>Niños al Futuro</t>
  </si>
  <si>
    <t>Raquel Aguilar</t>
  </si>
  <si>
    <t>Súper Niño</t>
  </si>
  <si>
    <t>Tío Boanerges</t>
  </si>
  <si>
    <t>Pasaje</t>
  </si>
  <si>
    <t>Aprender Jugando</t>
  </si>
  <si>
    <t>Buen Vivir de los Niños y Niñas</t>
  </si>
  <si>
    <t>Pasitos con Amor</t>
  </si>
  <si>
    <t>—</t>
  </si>
  <si>
    <t>Suspendida presencial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</si>
  <si>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</si>
  <si>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</si>
  <si>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</si>
  <si>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</si>
  <si>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</si>
  <si>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</si>
  <si>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</si>
  <si>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</si>
  <si>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</si>
  <si>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</si>
  <si>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</si>
  <si>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</si>
  <si>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</si>
  <si>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</si>
  <si>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</si>
  <si>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</si>
  <si>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</si>
  <si>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</si>
  <si>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</si>
  <si>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</si>
  <si>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</si>
  <si>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</si>
  <si>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</si>
  <si>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</si>
  <si>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</si>
  <si>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39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</si>
  <si>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</si>
  <si>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</si>
  <si>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</si>
  <si>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</si>
  <si>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</si>
  <si>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</si>
  <si>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GER-2026-006</t>
  </si>
  <si>
    <t>Santo Domingo de los Tsáchilas</t>
  </si>
  <si>
    <t>Santo Domingo</t>
  </si>
  <si>
    <t>Centros gerontológicos</t>
  </si>
  <si>
    <t>Filtraciones y humedad; mitigación inmediata. Servicio operativo.</t>
  </si>
  <si>
    <t>En seguimiento</t>
  </si>
  <si>
    <t>No reportada</t>
  </si>
  <si>
    <t>GER-2026-005</t>
  </si>
  <si>
    <t>Manabí</t>
  </si>
  <si>
    <t>Pedernales</t>
  </si>
  <si>
    <t>Filtraciones y humedad; medidas de contingencia. Servicio operativo.</t>
  </si>
  <si>
    <t>GER-2026-004</t>
  </si>
  <si>
    <t>Portoviejo</t>
  </si>
  <si>
    <t>Filtraciones y humedad; adecuaciones provisionales. Servicio operativo.</t>
  </si>
  <si>
    <t>GER-2026-003</t>
  </si>
  <si>
    <t>Milagro</t>
  </si>
  <si>
    <t>Filtraciones y humedad; medidas preventivas y correctivas. Servicio operativo.</t>
  </si>
  <si>
    <t>GER-2026-002</t>
  </si>
  <si>
    <t>Esmeraldas</t>
  </si>
  <si>
    <t>San Lorenzo</t>
  </si>
  <si>
    <t>Filtraciones y humedad; intervención emergente. Servicio operativo.</t>
  </si>
  <si>
    <t>GER-2026-001</t>
  </si>
  <si>
    <t>Huaquillas</t>
  </si>
  <si>
    <t>Filtraciones en techo y daños en patio; mitigación temporal. Servicio operativo.</t>
  </si>
  <si>
    <t>DIS-2026-003</t>
  </si>
  <si>
    <t>Discapacidades · AHC</t>
  </si>
  <si>
    <t>Inundaciones en viviendas de usuarios; acompañamiento y monitoreo. Servicio operativo.</t>
  </si>
  <si>
    <t>DIS-2026-002</t>
  </si>
  <si>
    <t>Inundaciones en viviendas de usuarios; monitoreo de facilitadores. Servicio operativo.</t>
  </si>
  <si>
    <t>DIS-2026-001</t>
  </si>
  <si>
    <t>Machala</t>
  </si>
  <si>
    <t>DII-2026-018</t>
  </si>
  <si>
    <t>Salitre</t>
  </si>
  <si>
    <t>CDI Olmedo Rendón Franco</t>
  </si>
  <si>
    <t>Desarrollo Infantil</t>
  </si>
  <si>
    <t>Vías inundadas dificultan el acceso de las familias al servicio.</t>
  </si>
  <si>
    <t>DII-2026-017</t>
  </si>
  <si>
    <t>CDI Mis Primeros Pasos</t>
  </si>
  <si>
    <t>Suspensión de actividades por desbordamiento del río Victoria.</t>
  </si>
  <si>
    <t>DII-2026-016</t>
  </si>
  <si>
    <t>CDI Juan Franco Guerra</t>
  </si>
  <si>
    <t>Suspensión por dificultades de acceso debido a lluvias intensas.</t>
  </si>
  <si>
    <t>DII-2026-015</t>
  </si>
  <si>
    <t>CDI mi segundo hogar</t>
  </si>
  <si>
    <t>DII-2026-014</t>
  </si>
  <si>
    <t>CDI mis queridos angelitos</t>
  </si>
  <si>
    <t>DII-2026-013</t>
  </si>
  <si>
    <t>Manta</t>
  </si>
  <si>
    <t>Ternura Infantil</t>
  </si>
  <si>
    <t>Daños estructurales reportados y solventados durante el día.</t>
  </si>
  <si>
    <t>Resuelto</t>
  </si>
  <si>
    <t>DII-2026-012</t>
  </si>
  <si>
    <t>CDI San José</t>
  </si>
  <si>
    <t>DII-2026-010</t>
  </si>
  <si>
    <t>Accesos afectados por lluvias; atención retomada el 27/10, sujeta a condiciones.</t>
  </si>
  <si>
    <t>DII-2026-009</t>
  </si>
  <si>
    <t>DII-2026-008</t>
  </si>
  <si>
    <t>DII-2026-007</t>
  </si>
  <si>
    <t>DII-2026-006</t>
  </si>
  <si>
    <t>Tia Peluca</t>
  </si>
  <si>
    <t>DII-2026-005</t>
  </si>
  <si>
    <t>Creciendo con Nuestros Hijos (CNH)</t>
  </si>
  <si>
    <t>DII-2026-004</t>
  </si>
  <si>
    <t>DII-2026-003</t>
  </si>
  <si>
    <t>Balao</t>
  </si>
  <si>
    <t>Luceritos</t>
  </si>
  <si>
    <t>Accesos afectados por inundación; se evalúa el restablecimiento del servicio.</t>
  </si>
  <si>
    <t>DII-2026-002</t>
  </si>
  <si>
    <t>Miraflores</t>
  </si>
  <si>
    <t>DII-2026-001</t>
  </si>
  <si>
    <t>Los Infantes</t>
  </si>
  <si>
    <t>DIS-2026-005</t>
  </si>
  <si>
    <t>Los Ríos</t>
  </si>
  <si>
    <t>Babahoyo</t>
  </si>
  <si>
    <t>Familia por un Buen Vivir para Personas con Discapacidad 7</t>
  </si>
  <si>
    <t>Inundación de vivienda de un núcleo familiar; levantamiento de información. Servicio operativo.</t>
  </si>
  <si>
    <t>DIS-2026-004</t>
  </si>
  <si>
    <t>Familia por un Buen Vivir para Personas con Discapacidad 5</t>
  </si>
  <si>
    <t>Colapso de vivienda de un usuario; evaluación de necesidades. Servicio operativo.</t>
  </si>
  <si>
    <t>ALT-2026-000325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</si>
  <si>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</si>
  <si>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</si>
  <si>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</si>
  <si>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</si>
  <si>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</si>
  <si>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</si>
  <si>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</si>
  <si>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</si>
  <si>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</si>
  <si>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</si>
  <si>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</si>
  <si>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</si>
  <si>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</si>
  <si>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</si>
  <si>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</si>
  <si>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</si>
  <si>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</si>
  <si>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</si>
  <si>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</si>
  <si>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</si>
  <si>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</si>
  <si>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</si>
  <si>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Súper Niño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</si>
  <si>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</si>
  <si>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</si>
  <si>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</si>
  <si>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</si>
  <si>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</si>
  <si>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</si>
  <si>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</si>
  <si>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</si>
  <si>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</si>
  <si>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</si>
  <si>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</si>
  <si>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</si>
  <si>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</si>
  <si>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</si>
  <si>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</si>
  <si>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DII-2026-011</t>
  </si>
  <si>
    <t>Mis pequeños y dulces traviesos</t>
  </si>
  <si>
    <t>Accesos afectados; reubicación temporal y atención virtual en gestión.</t>
  </si>
  <si>
    <t>Desde el 28/09/2026</t>
  </si>
  <si>
    <t>Fecha</t>
  </si>
  <si>
    <t>Registradas en el día</t>
  </si>
  <si>
    <t>Acumuladas</t>
  </si>
  <si>
    <t>Kits entregados en provincias priorizadas</t>
  </si>
  <si>
    <t>Kobo · corte 27/10/2026 · 13:35:45</t>
  </si>
  <si>
    <t>Kits</t>
  </si>
  <si>
    <t>Núcleos familiares reportados*</t>
  </si>
  <si>
    <t>Registros Kobo</t>
  </si>
  <si>
    <t>Azuay</t>
  </si>
  <si>
    <t>Imbabura</t>
  </si>
  <si>
    <t>Napo</t>
  </si>
  <si>
    <t>Bolívar</t>
  </si>
  <si>
    <t>Carchi</t>
  </si>
  <si>
    <t>Morona Santiago</t>
  </si>
  <si>
    <t>Loja</t>
  </si>
  <si>
    <t>Sucumbíos</t>
  </si>
  <si>
    <t>Pichincha</t>
  </si>
  <si>
    <t>Zamora Chinchipe</t>
  </si>
  <si>
    <t>Pastaza</t>
  </si>
  <si>
    <t>Chimborazo</t>
  </si>
  <si>
    <t>Tungurahua</t>
  </si>
  <si>
    <t>Cañar</t>
  </si>
  <si>
    <t>* Núcleos familiares reportados por entrega; no son núcleos familiares únicos. Cada entrega, en la hoja Entregas Kobo.</t>
  </si>
  <si>
    <t>Cada entrega de kits</t>
  </si>
  <si>
    <t>80 entregas registradas en Kobo</t>
  </si>
  <si>
    <t>Kits en provincias priorizadas: entregas desde el 28/09/2026 hasta el corte Kobo del 27/10/2026, 13:35:45. El registro de Cañar declara 1 kit, pero su observación indica una solicitud no recibida; pendiente de validación territorial.</t>
  </si>
  <si>
    <t>Kits acumulados</t>
  </si>
  <si>
    <t>ID Kobo</t>
  </si>
  <si>
    <t>901573492</t>
  </si>
  <si>
    <t>Muisne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</si>
  <si>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</si>
  <si>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</si>
  <si>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</si>
  <si>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</si>
  <si>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</si>
  <si>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</si>
  <si>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</si>
  <si>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</si>
  <si>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</si>
  <si>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</si>
  <si>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</si>
  <si>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</si>
  <si>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Tulcán</t>
  </si>
  <si>
    <t>901554707</t>
  </si>
  <si>
    <t>Ambato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</si>
  <si>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</si>
  <si>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</si>
  <si>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</si>
  <si>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</si>
  <si>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</si>
  <si>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</si>
  <si>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</si>
  <si>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</si>
  <si>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</si>
  <si>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Cuenca</t>
  </si>
  <si>
    <t>901593028</t>
  </si>
  <si>
    <t>901571302</t>
  </si>
  <si>
    <t>901540327</t>
  </si>
  <si>
    <t>901547586</t>
  </si>
  <si>
    <t>901557200</t>
  </si>
  <si>
    <t>Taisha</t>
  </si>
  <si>
    <t>901596632</t>
  </si>
  <si>
    <t>Sucúa</t>
  </si>
  <si>
    <t>901596348</t>
  </si>
  <si>
    <t>Las Naves</t>
  </si>
  <si>
    <t>901507614</t>
  </si>
  <si>
    <t>901543240</t>
  </si>
  <si>
    <t>901556593</t>
  </si>
  <si>
    <t>901554036</t>
  </si>
  <si>
    <t>901583657</t>
  </si>
  <si>
    <t>901555799</t>
  </si>
  <si>
    <t>901587375</t>
  </si>
  <si>
    <t>Espíndola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</si>
  <si>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</si>
  <si>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</si>
  <si>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</si>
  <si>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</si>
  <si>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</si>
  <si>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</si>
  <si>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</si>
  <si>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901593227</t>
  </si>
  <si>
    <t>901980441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</si>
  <si>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</si>
  <si>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</si>
  <si>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</si>
  <si>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</si>
  <si>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</si>
  <si>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</si>
  <si>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</si>
  <si>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</si>
  <si>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</si>
  <si>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</si>
  <si>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</si>
  <si>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</si>
  <si>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</si>
  <si>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</si>
  <si>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</si>
  <si>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901977201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</si>
  <si>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</si>
  <si>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</si>
  <si>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</si>
  <si>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</si>
  <si>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</si>
  <si>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</si>
  <si>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</si>
  <si>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</si>
  <si>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Huamboya</t>
  </si>
  <si>
    <t>901596933</t>
  </si>
  <si>
    <t>Pedro Vicente Maldonado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</si>
  <si>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</si>
  <si>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</si>
  <si>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</si>
  <si>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</si>
  <si>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</si>
  <si>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</si>
  <si>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</si>
  <si>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</si>
  <si>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</si>
  <si>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901542091</t>
  </si>
  <si>
    <t>901542544</t>
  </si>
  <si>
    <t>Quilanga</t>
  </si>
  <si>
    <t>901516522</t>
  </si>
  <si>
    <t>901528037</t>
  </si>
  <si>
    <t>Distrito Metropolitano de Quito</t>
  </si>
  <si>
    <t>901571868</t>
  </si>
  <si>
    <t>901588163</t>
  </si>
  <si>
    <t>901588943</t>
  </si>
  <si>
    <t>901589658</t>
  </si>
  <si>
    <t>901590720</t>
  </si>
  <si>
    <t>901553284</t>
  </si>
  <si>
    <t>901595722</t>
  </si>
  <si>
    <t>901984828</t>
  </si>
  <si>
    <t>901982247</t>
  </si>
  <si>
    <t>901983348</t>
  </si>
  <si>
    <t>Azogues</t>
  </si>
  <si>
    <t>901621820</t>
  </si>
  <si>
    <t>902022780</t>
  </si>
  <si>
    <t>Bono de contingencia</t>
  </si>
  <si>
    <t>Pagos gestionados desde el 29/08/2026 · articulación al 27/10/2026</t>
  </si>
  <si>
    <t>Pago gestionado (núcleos familiares)</t>
  </si>
  <si>
    <t>En articulación (personas)</t>
  </si>
  <si>
    <t>Monto gestionado (USD)</t>
  </si>
  <si>
    <t>Monto en articulación (USD)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</si>
  <si>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</si>
  <si>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</si>
  <si>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</si>
  <si>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</si>
  <si>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</si>
  <si>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</si>
  <si>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21 provincias con acciones · kits y bono de contingencia</t>
  </si>
  <si>
    <t>Cada acción conserva su unidad; no se suman entre sí</t>
  </si>
  <si>
    <t>Cantones</t>
  </si>
  <si>
    <t>Bono gestionado (núcleos familiares)</t>
  </si>
  <si>
    <t>Camilo Ponce Enríquez, Cuenca, Oña</t>
  </si>
  <si>
    <t>Bolívar, Tulcán</t>
  </si>
  <si>
    <t>El Guabo, Huaquillas, Machala, Pasaje</t>
  </si>
  <si>
    <t>Eloy Alfaro, Esmeraldas, Muisne, Quinindé, San Lorenzo</t>
  </si>
  <si>
    <t>Balao, Guayaquil, Milagro, Palestina, Salitre</t>
  </si>
  <si>
    <t>Espíndola, Loja, Pindal, Quilanga</t>
  </si>
  <si>
    <t>Flavio Alfaro, Manta, Pedernales, Portoviejo, Santa Ana</t>
  </si>
  <si>
    <t>Huamboya, Sucúa, Taisha</t>
  </si>
  <si>
    <t>Archidona, Tena</t>
  </si>
  <si>
    <t>Mera, Pastaza</t>
  </si>
  <si>
    <t>Distrito Metropolitano de Quito, Pedro Vicente Maldonado</t>
  </si>
  <si>
    <t>La Libertad, Salinas, Santa Elena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</si>
  <si>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</si>
  <si>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</si>
  <si>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</si>
  <si>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</si>
  <si>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</si>
  <si>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</si>
  <si>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</si>
  <si>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</si>
  <si>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</si>
  <si>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</si>
  <si>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</si>
  <si>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</si>
  <si>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</si>
  <si>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</si>
  <si>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Seguimiento desde el 28/09/2026, complementado con reportes sectoriales de octubre. Los reportes gerontológicos utilizan su fecha de reporte. Los identificadores DIS/GER/DII permiten localizar las filas incorporadas; no son códigos oficiales ni códigos UA. Los registros repetidos de la base consolidada se cuentan una sola vez. Alertas, unidades y personas son medidas distintas.</t>
  </si>
  <si>
    <t>Bono en articulación: 1.171 personas y USD 354.987,39 correspondientes al período 28/09–27/10/2026. Los bonos gestionados no cuentan con desglose temporal para este período. Las proyecciones son una referencia de planificación.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</si>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</sst>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&quot;USD &quot;#,##0.00"/>
    <numFmt numFmtId="166" formatCode="0.0%"/>
    <numFmt numFmtId="167" formatCode="dd/mm/yyyy"/>
    <numFmt numFmtId="168" formatCode="#,##0;-#,##0;&quot;—&quot;"/>
    <numFmt numFmtId="169" formatCode="#,##0.00;-#,##0.00;&quot;—&quot;"/>
  </numFmts>
  <fonts count="25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i/>
      <sz val="10.5"/>
      <color rgb="FF8A80A0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i/>
      <sz val="10.5"/>
      <color rgb="FF8A80A0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right" vertical="center" wrapText="1"/>
    </xf>
    <xf numFmtId="0" fontId="12" fillId="5" borderId="8" xfId="0" applyFont="1" applyFill="1" applyBorder="1" applyAlignment="1">
      <alignment horizontal="left" vertical="center" indent="1" wrapText="1"/>
    </xf>
    <xf numFmtId="164" fontId="13" fillId="5" borderId="8" xfId="0" applyNumberFormat="1" applyFont="1" applyFill="1" applyBorder="1" applyAlignment="1">
      <alignment horizontal="right" vertical="center"/>
    </xf>
    <xf numFmtId="166" fontId="13" fillId="5" borderId="8" xfId="0" applyNumberFormat="1" applyFont="1" applyFill="1" applyBorder="1" applyAlignment="1">
      <alignment horizontal="right" vertical="center"/>
    </xf>
    <xf numFmtId="0" fontId="12" fillId="4" borderId="8" xfId="0" applyFont="1" applyFill="1" applyBorder="1" applyAlignment="1">
      <alignment horizontal="left" vertical="center" indent="1" wrapText="1"/>
    </xf>
    <xf numFmtId="164" fontId="13" fillId="4" borderId="8" xfId="0" applyNumberFormat="1" applyFont="1" applyFill="1" applyBorder="1" applyAlignment="1">
      <alignment horizontal="right" vertical="center"/>
    </xf>
    <xf numFmtId="166" fontId="13" fillId="4" borderId="8" xfId="0" applyNumberFormat="1" applyFont="1" applyFill="1" applyBorder="1" applyAlignment="1">
      <alignment horizontal="right" vertical="center"/>
    </xf>
    <xf numFmtId="0" fontId="12" fillId="6" borderId="9" xfId="0" applyFont="1" applyFill="1" applyBorder="1" applyAlignment="1">
      <alignment horizontal="left" vertical="center" indent="1"/>
    </xf>
    <xf numFmtId="164" fontId="14" fillId="6" borderId="10" xfId="0" applyNumberFormat="1" applyFont="1" applyFill="1" applyBorder="1" applyAlignment="1">
      <alignment horizontal="right" vertical="center"/>
    </xf>
    <xf numFmtId="166" fontId="14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 wrapText="1"/>
    </xf>
    <xf numFmtId="167" fontId="1" fillId="5" borderId="8" xfId="0" applyNumberFormat="1" applyFont="1" applyFill="1" applyBorder="1" applyAlignment="1">
      <alignment horizontal="left" vertical="center" indent="1"/>
    </xf>
    <xf numFmtId="0" fontId="15" fillId="5" borderId="8" xfId="0" applyFont="1" applyFill="1" applyBorder="1" applyAlignment="1">
      <alignment horizontal="center" vertical="center"/>
    </xf>
    <xf numFmtId="167" fontId="1" fillId="4" borderId="8" xfId="0" applyNumberFormat="1" applyFont="1" applyFill="1" applyBorder="1" applyAlignment="1">
      <alignment horizontal="left" vertical="center" indent="1"/>
    </xf>
    <xf numFmtId="0" fontId="15" fillId="4" borderId="8" xfId="0" applyFont="1" applyFill="1" applyBorder="1" applyAlignment="1">
      <alignment horizontal="center" vertical="center"/>
    </xf>
    <xf numFmtId="167" fontId="12" fillId="5" borderId="8" xfId="0" applyNumberFormat="1" applyFont="1" applyFill="1" applyBorder="1" applyAlignment="1">
      <alignment horizontal="left" vertical="center" indent="1"/>
    </xf>
    <xf numFmtId="167" fontId="12" fillId="4" borderId="8" xfId="0" applyNumberFormat="1" applyFont="1" applyFill="1" applyBorder="1" applyAlignment="1">
      <alignment horizontal="left" vertical="center" indent="1"/>
    </xf>
    <xf numFmtId="0" fontId="16" fillId="0" borderId="0" xfId="0" applyFont="1" applyAlignment="1">
      <alignment vertical="top" wrapText="1"/>
    </xf>
    <xf numFmtId="0" fontId="17" fillId="7" borderId="11" xfId="0" applyFont="1" applyFill="1" applyBorder="1" applyAlignment="1">
      <alignment horizontal="left" vertical="center" indent="1" wrapText="1"/>
    </xf>
    <xf numFmtId="168" fontId="13" fillId="5" borderId="8" xfId="0" applyNumberFormat="1" applyFont="1" applyFill="1" applyBorder="1" applyAlignment="1">
      <alignment horizontal="right" vertical="center"/>
    </xf>
    <xf numFmtId="169" fontId="13" fillId="5" borderId="8" xfId="0" applyNumberFormat="1" applyFont="1" applyFill="1" applyBorder="1" applyAlignment="1">
      <alignment horizontal="right" vertical="center"/>
    </xf>
    <xf numFmtId="168" fontId="13" fillId="4" borderId="8" xfId="0" applyNumberFormat="1" applyFont="1" applyFill="1" applyBorder="1" applyAlignment="1">
      <alignment horizontal="right" vertical="center"/>
    </xf>
    <xf numFmtId="169" fontId="13" fillId="4" borderId="8" xfId="0" applyNumberFormat="1" applyFont="1" applyFill="1" applyBorder="1" applyAlignment="1">
      <alignment horizontal="right" vertical="center"/>
    </xf>
    <xf numFmtId="0" fontId="18" fillId="6" borderId="9" xfId="0" applyFont="1" applyFill="1" applyBorder="1" applyAlignment="1">
      <alignment horizontal="right" vertical="center"/>
    </xf>
    <xf numFmtId="168" fontId="14" fillId="6" borderId="10" xfId="0" applyNumberFormat="1" applyFont="1" applyFill="1" applyBorder="1" applyAlignment="1">
      <alignment horizontal="right" vertical="center"/>
    </xf>
    <xf numFmtId="169" fontId="14" fillId="6" borderId="10" xfId="0" applyNumberFormat="1" applyFont="1" applyFill="1" applyBorder="1" applyAlignment="1">
      <alignment horizontal="right" vertical="center"/>
    </xf>
    <xf numFmtId="0" fontId="19" fillId="8" borderId="12" xfId="0" applyFont="1" applyFill="1" applyBorder="1" applyAlignment="1">
      <alignment horizontal="left" vertical="center" indent="1"/>
    </xf>
    <xf numFmtId="164" fontId="20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5" fontId="20" fillId="8" borderId="0" xfId="0" applyNumberFormat="1" applyFont="1" applyFill="1" applyAlignment="1">
      <alignment horizontal="right" vertical="center" indent="1"/>
    </xf>
    <xf numFmtId="0" fontId="21" fillId="5" borderId="8" xfId="0" applyFont="1" applyFill="1" applyBorder="1" applyAlignment="1">
      <alignment horizontal="right" vertical="center"/>
    </xf>
    <xf numFmtId="0" fontId="21" fillId="4" borderId="8" xfId="0" applyFont="1" applyFill="1" applyBorder="1" applyAlignment="1">
      <alignment horizontal="right" vertical="center"/>
    </xf>
    <xf numFmtId="0" fontId="22" fillId="7" borderId="0" xfId="0" applyFont="1" applyFill="1" applyAlignment="1">
      <alignment vertical="top" wrapText="1"/>
    </xf>
    <xf numFmtId="0" fontId="23" fillId="0" borderId="0" xfId="0" applyFont="1" applyAlignment="1">
      <alignment vertical="top" wrapText="1"/>
    </xf>
    <xf numFmtId="0" fontId="24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Resumen!$B$18:$B$19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Resumen!$E$18:$E$19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Evolución!$C$9:$C$38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</c:v>
                </c:pt>
                <c:pt idx="28">
                  <c:v>26</c:v>
                </c:pt>
                <c:pt idx="29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Evolución!$D$9:$D$38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5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39</c:v>
                </c:pt>
                <c:pt idx="29">
                  <c:v>39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2.0"/>
          <c:min val="46293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Evolución!$C$9:$C$38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</c:v>
                </c:pt>
                <c:pt idx="28">
                  <c:v>26</c:v>
                </c:pt>
                <c:pt idx="29">
                  <c:v>0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Evolución!$B$9:$B$38</c:f>
              <c:numCache>
                <c:formatCode>General</c:formatCode>
                <c:ptCount val="30"/>
                <c:pt idx="0">
                  <c:v>46293</c:v>
                </c:pt>
                <c:pt idx="1">
                  <c:v>46294</c:v>
                </c:pt>
                <c:pt idx="2">
                  <c:v>46295</c:v>
                </c:pt>
                <c:pt idx="3">
                  <c:v>46296</c:v>
                </c:pt>
                <c:pt idx="4">
                  <c:v>46297</c:v>
                </c:pt>
                <c:pt idx="5">
                  <c:v>46298</c:v>
                </c:pt>
                <c:pt idx="6">
                  <c:v>46299</c:v>
                </c:pt>
                <c:pt idx="7">
                  <c:v>46300</c:v>
                </c:pt>
                <c:pt idx="8">
                  <c:v>46301</c:v>
                </c:pt>
                <c:pt idx="9">
                  <c:v>46302</c:v>
                </c:pt>
                <c:pt idx="10">
                  <c:v>46303</c:v>
                </c:pt>
                <c:pt idx="11">
                  <c:v>46304</c:v>
                </c:pt>
                <c:pt idx="12">
                  <c:v>46305</c:v>
                </c:pt>
                <c:pt idx="13">
                  <c:v>46306</c:v>
                </c:pt>
                <c:pt idx="14">
                  <c:v>46307</c:v>
                </c:pt>
                <c:pt idx="15">
                  <c:v>46308</c:v>
                </c:pt>
                <c:pt idx="16">
                  <c:v>46309</c:v>
                </c:pt>
                <c:pt idx="17">
                  <c:v>46310</c:v>
                </c:pt>
                <c:pt idx="18">
                  <c:v>46311</c:v>
                </c:pt>
                <c:pt idx="19">
                  <c:v>46312</c:v>
                </c:pt>
                <c:pt idx="20">
                  <c:v>46313</c:v>
                </c:pt>
                <c:pt idx="21">
                  <c:v>46314</c:v>
                </c:pt>
                <c:pt idx="22">
                  <c:v>46315</c:v>
                </c:pt>
                <c:pt idx="23">
                  <c:v>46316</c:v>
                </c:pt>
                <c:pt idx="24">
                  <c:v>46317</c:v>
                </c:pt>
                <c:pt idx="25">
                  <c:v>46318</c:v>
                </c:pt>
                <c:pt idx="26">
                  <c:v>46319</c:v>
                </c:pt>
                <c:pt idx="27">
                  <c:v>46320</c:v>
                </c:pt>
                <c:pt idx="28">
                  <c:v>46321</c:v>
                </c:pt>
                <c:pt idx="29">
                  <c:v>46322</c:v>
                </c:pt>
              </c:numCache>
            </c:numRef>
          </c:cat>
          <c:val>
            <c:numRef>
              <c:f>Evolución!$D$9:$D$38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5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39</c:v>
                </c:pt>
                <c:pt idx="29">
                  <c:v>39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2.0"/>
          <c:min val="46293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Kobo'!$B$11:$B$90</c:f>
              <c:numCache>
                <c:formatCode>General</c:formatCode>
                <c:ptCount val="80"/>
                <c:pt idx="0">
                  <c:v>46293</c:v>
                </c:pt>
                <c:pt idx="1">
                  <c:v>46293</c:v>
                </c:pt>
                <c:pt idx="2">
                  <c:v>46294</c:v>
                </c:pt>
                <c:pt idx="3">
                  <c:v>46294</c:v>
                </c:pt>
                <c:pt idx="4">
                  <c:v>46294</c:v>
                </c:pt>
                <c:pt idx="5">
                  <c:v>46295</c:v>
                </c:pt>
                <c:pt idx="6">
                  <c:v>46296</c:v>
                </c:pt>
                <c:pt idx="7">
                  <c:v>46296</c:v>
                </c:pt>
                <c:pt idx="8">
                  <c:v>46296</c:v>
                </c:pt>
                <c:pt idx="9">
                  <c:v>46296</c:v>
                </c:pt>
                <c:pt idx="10">
                  <c:v>46296</c:v>
                </c:pt>
                <c:pt idx="11">
                  <c:v>46296</c:v>
                </c:pt>
                <c:pt idx="12">
                  <c:v>46297</c:v>
                </c:pt>
                <c:pt idx="13">
                  <c:v>46297</c:v>
                </c:pt>
                <c:pt idx="14">
                  <c:v>46297</c:v>
                </c:pt>
                <c:pt idx="15">
                  <c:v>46298</c:v>
                </c:pt>
                <c:pt idx="16">
                  <c:v>46298</c:v>
                </c:pt>
                <c:pt idx="17">
                  <c:v>46299</c:v>
                </c:pt>
                <c:pt idx="18">
                  <c:v>46300</c:v>
                </c:pt>
                <c:pt idx="19">
                  <c:v>46300</c:v>
                </c:pt>
                <c:pt idx="20">
                  <c:v>46301</c:v>
                </c:pt>
                <c:pt idx="21">
                  <c:v>46301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46303</c:v>
                </c:pt>
                <c:pt idx="26">
                  <c:v>46303</c:v>
                </c:pt>
                <c:pt idx="27">
                  <c:v>46303</c:v>
                </c:pt>
                <c:pt idx="28">
                  <c:v>46303</c:v>
                </c:pt>
                <c:pt idx="29">
                  <c:v>46304</c:v>
                </c:pt>
                <c:pt idx="30">
                  <c:v>46305</c:v>
                </c:pt>
                <c:pt idx="31">
                  <c:v>46305</c:v>
                </c:pt>
                <c:pt idx="32">
                  <c:v>46307</c:v>
                </c:pt>
                <c:pt idx="33">
                  <c:v>46307</c:v>
                </c:pt>
                <c:pt idx="34">
                  <c:v>46308</c:v>
                </c:pt>
                <c:pt idx="35">
                  <c:v>46308</c:v>
                </c:pt>
                <c:pt idx="36">
                  <c:v>46308</c:v>
                </c:pt>
                <c:pt idx="37">
                  <c:v>46308</c:v>
                </c:pt>
                <c:pt idx="38">
                  <c:v>46309</c:v>
                </c:pt>
                <c:pt idx="39">
                  <c:v>46310</c:v>
                </c:pt>
                <c:pt idx="40">
                  <c:v>46311</c:v>
                </c:pt>
                <c:pt idx="41">
                  <c:v>46311</c:v>
                </c:pt>
                <c:pt idx="42">
                  <c:v>46311</c:v>
                </c:pt>
                <c:pt idx="43">
                  <c:v>46311</c:v>
                </c:pt>
                <c:pt idx="44">
                  <c:v>46311</c:v>
                </c:pt>
                <c:pt idx="45">
                  <c:v>46312</c:v>
                </c:pt>
                <c:pt idx="46">
                  <c:v>46314</c:v>
                </c:pt>
                <c:pt idx="47">
                  <c:v>46314</c:v>
                </c:pt>
                <c:pt idx="48">
                  <c:v>46315</c:v>
                </c:pt>
                <c:pt idx="49">
                  <c:v>46315</c:v>
                </c:pt>
                <c:pt idx="50">
                  <c:v>46315</c:v>
                </c:pt>
                <c:pt idx="51">
                  <c:v>46315</c:v>
                </c:pt>
                <c:pt idx="52">
                  <c:v>46316</c:v>
                </c:pt>
                <c:pt idx="53">
                  <c:v>46316</c:v>
                </c:pt>
                <c:pt idx="54">
                  <c:v>46316</c:v>
                </c:pt>
                <c:pt idx="55">
                  <c:v>46317</c:v>
                </c:pt>
                <c:pt idx="56">
                  <c:v>46317</c:v>
                </c:pt>
                <c:pt idx="57">
                  <c:v>46317</c:v>
                </c:pt>
                <c:pt idx="58">
                  <c:v>46318</c:v>
                </c:pt>
                <c:pt idx="59">
                  <c:v>46319</c:v>
                </c:pt>
                <c:pt idx="60">
                  <c:v>46319</c:v>
                </c:pt>
                <c:pt idx="61">
                  <c:v>46319</c:v>
                </c:pt>
                <c:pt idx="62">
                  <c:v>46319</c:v>
                </c:pt>
                <c:pt idx="63">
                  <c:v>46319</c:v>
                </c:pt>
                <c:pt idx="64">
                  <c:v>46319</c:v>
                </c:pt>
                <c:pt idx="65">
                  <c:v>46319</c:v>
                </c:pt>
                <c:pt idx="66">
                  <c:v>46319</c:v>
                </c:pt>
                <c:pt idx="67">
                  <c:v>46320</c:v>
                </c:pt>
                <c:pt idx="68">
                  <c:v>46320</c:v>
                </c:pt>
                <c:pt idx="69">
                  <c:v>46320</c:v>
                </c:pt>
                <c:pt idx="70">
                  <c:v>46320</c:v>
                </c:pt>
                <c:pt idx="71">
                  <c:v>46320</c:v>
                </c:pt>
                <c:pt idx="72">
                  <c:v>46320</c:v>
                </c:pt>
                <c:pt idx="73">
                  <c:v>46321</c:v>
                </c:pt>
                <c:pt idx="74">
                  <c:v>46321</c:v>
                </c:pt>
                <c:pt idx="75">
                  <c:v>46321</c:v>
                </c:pt>
                <c:pt idx="76">
                  <c:v>46321</c:v>
                </c:pt>
                <c:pt idx="77">
                  <c:v>46321</c:v>
                </c:pt>
                <c:pt idx="78">
                  <c:v>46321</c:v>
                </c:pt>
                <c:pt idx="79">
                  <c:v>46322</c:v>
                </c:pt>
              </c:numCache>
            </c:numRef>
          </c:xVal>
          <c:yVal>
            <c:numRef>
              <c:f>'Entregas Kobo'!$F$11:$F$90</c:f>
              <c:numCache>
                <c:formatCode>General</c:formatCode>
                <c:ptCount val="80"/>
                <c:pt idx="0">
                  <c:v>400</c:v>
                </c:pt>
                <c:pt idx="1">
                  <c:v>540</c:v>
                </c:pt>
                <c:pt idx="2">
                  <c:v>840</c:v>
                </c:pt>
                <c:pt idx="3">
                  <c:v>900</c:v>
                </c:pt>
                <c:pt idx="4">
                  <c:v>907</c:v>
                </c:pt>
                <c:pt idx="5">
                  <c:v>917</c:v>
                </c:pt>
                <c:pt idx="6">
                  <c:v>1457</c:v>
                </c:pt>
                <c:pt idx="7">
                  <c:v>1577</c:v>
                </c:pt>
                <c:pt idx="8">
                  <c:v>1657</c:v>
                </c:pt>
                <c:pt idx="9">
                  <c:v>1662</c:v>
                </c:pt>
                <c:pt idx="10">
                  <c:v>1663</c:v>
                </c:pt>
                <c:pt idx="11">
                  <c:v>1664</c:v>
                </c:pt>
                <c:pt idx="12">
                  <c:v>1751</c:v>
                </c:pt>
                <c:pt idx="13">
                  <c:v>1836</c:v>
                </c:pt>
                <c:pt idx="14">
                  <c:v>1921</c:v>
                </c:pt>
                <c:pt idx="15">
                  <c:v>2693</c:v>
                </c:pt>
                <c:pt idx="16">
                  <c:v>2711</c:v>
                </c:pt>
                <c:pt idx="17">
                  <c:v>2741</c:v>
                </c:pt>
                <c:pt idx="18">
                  <c:v>4241</c:v>
                </c:pt>
                <c:pt idx="19">
                  <c:v>4251</c:v>
                </c:pt>
                <c:pt idx="20">
                  <c:v>5521</c:v>
                </c:pt>
                <c:pt idx="21">
                  <c:v>5571</c:v>
                </c:pt>
                <c:pt idx="22">
                  <c:v>5581</c:v>
                </c:pt>
                <c:pt idx="23">
                  <c:v>5591</c:v>
                </c:pt>
                <c:pt idx="24">
                  <c:v>5732</c:v>
                </c:pt>
                <c:pt idx="25">
                  <c:v>5857</c:v>
                </c:pt>
                <c:pt idx="26">
                  <c:v>5932</c:v>
                </c:pt>
                <c:pt idx="27">
                  <c:v>5972</c:v>
                </c:pt>
                <c:pt idx="28">
                  <c:v>6012</c:v>
                </c:pt>
                <c:pt idx="29">
                  <c:v>6023</c:v>
                </c:pt>
                <c:pt idx="30">
                  <c:v>6093</c:v>
                </c:pt>
                <c:pt idx="31">
                  <c:v>6122</c:v>
                </c:pt>
                <c:pt idx="32">
                  <c:v>6144</c:v>
                </c:pt>
                <c:pt idx="33">
                  <c:v>6150</c:v>
                </c:pt>
                <c:pt idx="34">
                  <c:v>6214</c:v>
                </c:pt>
                <c:pt idx="35">
                  <c:v>6238</c:v>
                </c:pt>
                <c:pt idx="36">
                  <c:v>6262</c:v>
                </c:pt>
                <c:pt idx="37">
                  <c:v>6286</c:v>
                </c:pt>
                <c:pt idx="38">
                  <c:v>6421</c:v>
                </c:pt>
                <c:pt idx="39">
                  <c:v>6428</c:v>
                </c:pt>
                <c:pt idx="40">
                  <c:v>6628</c:v>
                </c:pt>
                <c:pt idx="41">
                  <c:v>6672</c:v>
                </c:pt>
                <c:pt idx="42">
                  <c:v>6702</c:v>
                </c:pt>
                <c:pt idx="43">
                  <c:v>6706</c:v>
                </c:pt>
                <c:pt idx="44">
                  <c:v>6709</c:v>
                </c:pt>
                <c:pt idx="45">
                  <c:v>6729</c:v>
                </c:pt>
                <c:pt idx="46">
                  <c:v>6765</c:v>
                </c:pt>
                <c:pt idx="47">
                  <c:v>6801</c:v>
                </c:pt>
                <c:pt idx="48">
                  <c:v>7801</c:v>
                </c:pt>
                <c:pt idx="49">
                  <c:v>8601</c:v>
                </c:pt>
                <c:pt idx="50">
                  <c:v>8901</c:v>
                </c:pt>
                <c:pt idx="51">
                  <c:v>9117</c:v>
                </c:pt>
                <c:pt idx="52">
                  <c:v>9134</c:v>
                </c:pt>
                <c:pt idx="53">
                  <c:v>9139</c:v>
                </c:pt>
                <c:pt idx="54">
                  <c:v>9142</c:v>
                </c:pt>
                <c:pt idx="55">
                  <c:v>9242</c:v>
                </c:pt>
                <c:pt idx="56">
                  <c:v>9253</c:v>
                </c:pt>
                <c:pt idx="57">
                  <c:v>9256</c:v>
                </c:pt>
                <c:pt idx="58">
                  <c:v>9506</c:v>
                </c:pt>
                <c:pt idx="59">
                  <c:v>9656</c:v>
                </c:pt>
                <c:pt idx="60">
                  <c:v>9756</c:v>
                </c:pt>
                <c:pt idx="61">
                  <c:v>9856</c:v>
                </c:pt>
                <c:pt idx="62">
                  <c:v>9953</c:v>
                </c:pt>
                <c:pt idx="63">
                  <c:v>10019</c:v>
                </c:pt>
                <c:pt idx="64">
                  <c:v>10049</c:v>
                </c:pt>
                <c:pt idx="65">
                  <c:v>10074</c:v>
                </c:pt>
                <c:pt idx="66">
                  <c:v>10089</c:v>
                </c:pt>
                <c:pt idx="67">
                  <c:v>10104</c:v>
                </c:pt>
                <c:pt idx="68">
                  <c:v>10106</c:v>
                </c:pt>
                <c:pt idx="69">
                  <c:v>10107</c:v>
                </c:pt>
                <c:pt idx="70">
                  <c:v>10108</c:v>
                </c:pt>
                <c:pt idx="71">
                  <c:v>10109</c:v>
                </c:pt>
                <c:pt idx="72">
                  <c:v>10110</c:v>
                </c:pt>
                <c:pt idx="73">
                  <c:v>10335</c:v>
                </c:pt>
                <c:pt idx="74">
                  <c:v>10371</c:v>
                </c:pt>
                <c:pt idx="75">
                  <c:v>10396</c:v>
                </c:pt>
                <c:pt idx="76">
                  <c:v>10401</c:v>
                </c:pt>
                <c:pt idx="77">
                  <c:v>10406</c:v>
                </c:pt>
                <c:pt idx="78">
                  <c:v>10407</c:v>
                </c:pt>
                <c:pt idx="79">
                  <c:v>10607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4"/>
          <c:min val="46291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Cada etapa, por provincia (cada barra suma el 100 %)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Bono!$B$9</c:f>
              <c:strCache>
                <c:ptCount val="1"/>
                <c:pt idx="0">
                  <c:v>Esmeraldas</c:v>
                </c:pt>
              </c:strCache>
            </c:strRef>
          </c:tx>
          <c:spPr>
            <a:solidFill>
              <a:srgbClr val="7657B9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Bono!$C$9:$D$9</c:f>
              <c:numCache>
                <c:formatCode>General</c:formatCode>
                <c:ptCount val="2"/>
                <c:pt idx="0">
                  <c:v>0</c:v>
                </c:pt>
                <c:pt idx="1">
                  <c:v>530</c:v>
                </c:pt>
              </c:numCache>
            </c:numRef>
          </c:val>
        </c:ser>
        <c:ser>
          <c:idx val="1"/>
          <c:order val="1"/>
          <c:tx>
            <c:strRef>
              <c:f>Bono!$B$10</c:f>
              <c:strCache>
                <c:ptCount val="1"/>
                <c:pt idx="0">
                  <c:v>Guayas</c:v>
                </c:pt>
              </c:strCache>
            </c:strRef>
          </c:tx>
          <c:spPr>
            <a:solidFill>
              <a:srgbClr val="512F8D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Bono!$C$10:$D$10</c:f>
              <c:numCache>
                <c:formatCode>General</c:formatCode>
                <c:ptCount val="2"/>
                <c:pt idx="0">
                  <c:v>0</c:v>
                </c:pt>
                <c:pt idx="1">
                  <c:v>344</c:v>
                </c:pt>
              </c:numCache>
            </c:numRef>
          </c:val>
        </c:ser>
        <c:ser>
          <c:idx val="2"/>
          <c:order val="2"/>
          <c:tx>
            <c:strRef>
              <c:f>Bono!$B$11</c:f>
              <c:strCache>
                <c:ptCount val="1"/>
                <c:pt idx="0">
                  <c:v>El Oro</c:v>
                </c:pt>
              </c:strCache>
            </c:strRef>
          </c:tx>
          <c:spPr>
            <a:solidFill>
              <a:srgbClr val="A995E0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Bono!$C$11:$D$11</c:f>
              <c:numCache>
                <c:formatCode>General</c:formatCode>
                <c:ptCount val="2"/>
                <c:pt idx="0">
                  <c:v>0</c:v>
                </c:pt>
                <c:pt idx="1">
                  <c:v>181</c:v>
                </c:pt>
              </c:numCache>
            </c:numRef>
          </c:val>
        </c:ser>
        <c:ser>
          <c:idx val="3"/>
          <c:order val="3"/>
          <c:tx>
            <c:strRef>
              <c:f>Bono!$B$12</c:f>
              <c:strCache>
                <c:ptCount val="1"/>
                <c:pt idx="0">
                  <c:v>Los Ríos</c:v>
                </c:pt>
              </c:strCache>
            </c:strRef>
          </c:tx>
          <c:spPr>
            <a:solidFill>
              <a:srgbClr val="A32C74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Bono!$C$12:$D$12</c:f>
              <c:numCache>
                <c:formatCode>General</c:formatCode>
                <c:ptCount val="2"/>
                <c:pt idx="0">
                  <c:v>0</c:v>
                </c:pt>
                <c:pt idx="1">
                  <c:v>111</c:v>
                </c:pt>
              </c:numCache>
            </c:numRef>
          </c:val>
        </c:ser>
        <c:ser>
          <c:idx val="4"/>
          <c:order val="4"/>
          <c:tx>
            <c:strRef>
              <c:f>Bono!$B$13</c:f>
              <c:strCache>
                <c:ptCount val="1"/>
                <c:pt idx="0">
                  <c:v>Imbabura</c:v>
                </c:pt>
              </c:strCache>
            </c:strRef>
          </c:tx>
          <c:spPr>
            <a:solidFill>
              <a:srgbClr val="E6A3C5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Bono!$C$13:$D$13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</c:ser>
        <c:gapWidth val="60"/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0%" sourceLinked="1"/>
        <c:tickLblPos val="nextTo"/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chart" Target="../charts/chart1.xml"/><Relationship Id="rId10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47</xdr:row>
      <xdr:rowOff>0</xdr:rowOff>
    </xdr:from>
    <xdr:to>
      <xdr:col>5</xdr:col>
      <xdr:colOff>133350</xdr:colOff>
      <xdr:row>62</xdr:row>
      <xdr:rowOff>171450</xdr:rowOff>
    </xdr:to>
    <xdr:pic>
      <xdr:nvPicPr>
        <xdr:cNvPr id="3" name="Picture 2" descr="Mapa del Ecuador: alertas reportadas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47</xdr:row>
      <xdr:rowOff>0</xdr:rowOff>
    </xdr:from>
    <xdr:to>
      <xdr:col>10</xdr:col>
      <xdr:colOff>133350</xdr:colOff>
      <xdr:row>62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47</xdr:row>
      <xdr:rowOff>0</xdr:rowOff>
    </xdr:from>
    <xdr:to>
      <xdr:col>15</xdr:col>
      <xdr:colOff>133350</xdr:colOff>
      <xdr:row>62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65</xdr:row>
      <xdr:rowOff>95250</xdr:rowOff>
    </xdr:from>
    <xdr:to>
      <xdr:col>1</xdr:col>
      <xdr:colOff>533400</xdr:colOff>
      <xdr:row>65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0876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67</xdr:row>
      <xdr:rowOff>95250</xdr:rowOff>
    </xdr:from>
    <xdr:to>
      <xdr:col>1</xdr:col>
      <xdr:colOff>533400</xdr:colOff>
      <xdr:row>67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55924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69</xdr:row>
      <xdr:rowOff>95250</xdr:rowOff>
    </xdr:from>
    <xdr:to>
      <xdr:col>1</xdr:col>
      <xdr:colOff>533400</xdr:colOff>
      <xdr:row>69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0972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71</xdr:row>
      <xdr:rowOff>95250</xdr:rowOff>
    </xdr:from>
    <xdr:to>
      <xdr:col>1</xdr:col>
      <xdr:colOff>533400</xdr:colOff>
      <xdr:row>71</xdr:row>
      <xdr:rowOff>342900</xdr:rowOff>
    </xdr:to>
    <xdr:pic>
      <xdr:nvPicPr>
        <xdr:cNvPr id="9" name="Picture 8" descr="icono_use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95300" y="16602075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26</xdr:row>
      <xdr:rowOff>266700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30</xdr:row>
      <xdr:rowOff>57150</xdr:rowOff>
    </xdr:from>
    <xdr:to>
      <xdr:col>16</xdr:col>
      <xdr:colOff>0</xdr:colOff>
      <xdr:row>44</xdr:row>
      <xdr:rowOff>152400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30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15</xdr:row>
      <xdr:rowOff>38100</xdr:rowOff>
    </xdr:from>
    <xdr:to>
      <xdr:col>6</xdr:col>
      <xdr:colOff>0</xdr:colOff>
      <xdr:row>27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3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39</v>
      </c>
      <c r="C10" s="15"/>
      <c r="D10" s="15"/>
      <c r="E10" s="14">
        <v>10607</v>
      </c>
      <c r="F10" s="15"/>
      <c r="G10" s="15"/>
      <c r="H10" s="14">
        <v>1171</v>
      </c>
      <c r="I10" s="15"/>
      <c r="J10" s="15"/>
      <c r="K10" s="16">
        <v>354987.39</v>
      </c>
      <c r="L10" s="15"/>
      <c r="M10" s="15"/>
      <c r="N10" s="14">
        <v>99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10</v>
      </c>
      <c r="I12" s="17"/>
      <c r="J12" s="17"/>
      <c r="K12" s="17" t="s">
        <v>12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16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16" ht="21" customHeight="1" x14ac:dyDescent="0.25">
      <c r="B18" s="21" t="s">
        <v>21</v>
      </c>
      <c r="C18" s="21"/>
      <c r="D18" s="21"/>
      <c r="E18" s="22">
        <v>64</v>
      </c>
      <c r="F18" s="22"/>
      <c r="G18" s="23">
        <v>0.6464646464646465</v>
      </c>
      <c r="H18" s="23"/>
    </row>
    <row r="19" spans="2:16" ht="21" customHeight="1" x14ac:dyDescent="0.25">
      <c r="B19" s="24" t="s">
        <v>22</v>
      </c>
      <c r="C19" s="24"/>
      <c r="D19" s="24"/>
      <c r="E19" s="25">
        <v>35</v>
      </c>
      <c r="F19" s="25"/>
      <c r="G19" s="26">
        <v>0.3535353535353535</v>
      </c>
      <c r="H19" s="26"/>
    </row>
    <row r="20" spans="2:16" ht="22" customHeight="1" x14ac:dyDescent="0.25">
      <c r="B20" s="27" t="s">
        <v>23</v>
      </c>
      <c r="C20" s="27"/>
      <c r="D20" s="27"/>
      <c r="E20" s="28">
        <f>SUM(E18:E19)</f>
        <v>99</v>
      </c>
      <c r="F20" s="28"/>
      <c r="G20" s="29">
        <v>1</v>
      </c>
      <c r="H20" s="29"/>
    </row>
    <row r="22" spans="2:16" ht="22" customHeight="1" x14ac:dyDescent="0.25">
      <c r="B22" s="18" t="s">
        <v>24</v>
      </c>
      <c r="C22" s="18"/>
      <c r="D22" s="18"/>
      <c r="E22" s="18"/>
      <c r="F22" s="18"/>
      <c r="G22" s="18"/>
      <c r="H22" s="18"/>
    </row>
    <row r="23" spans="2:16" ht="30" customHeight="1" x14ac:dyDescent="0.25">
      <c r="B23" s="19" t="s">
        <v>25</v>
      </c>
      <c r="C23" s="19"/>
      <c r="D23" s="19"/>
      <c r="E23" s="20" t="s">
        <v>19</v>
      </c>
      <c r="F23" s="20"/>
      <c r="G23" s="20" t="s">
        <v>20</v>
      </c>
      <c r="H23" s="20"/>
    </row>
    <row r="24" spans="2:16" ht="21" customHeight="1" x14ac:dyDescent="0.25">
      <c r="B24" s="21" t="s">
        <v>26</v>
      </c>
      <c r="C24" s="21"/>
      <c r="D24" s="21"/>
      <c r="E24" s="22">
        <v>75</v>
      </c>
      <c r="F24" s="22"/>
      <c r="G24" s="23">
        <v>0.7575757575757576</v>
      </c>
      <c r="H24" s="23"/>
    </row>
    <row r="25" spans="2:16" ht="21" customHeight="1" x14ac:dyDescent="0.25">
      <c r="B25" s="24" t="s">
        <v>27</v>
      </c>
      <c r="C25" s="24"/>
      <c r="D25" s="24"/>
      <c r="E25" s="25">
        <v>17</v>
      </c>
      <c r="F25" s="25"/>
      <c r="G25" s="26">
        <v>0.1717171717171717</v>
      </c>
      <c r="H25" s="26"/>
    </row>
    <row r="26" spans="2:16" ht="21" customHeight="1" x14ac:dyDescent="0.25">
      <c r="B26" s="21" t="s">
        <v>28</v>
      </c>
      <c r="C26" s="21"/>
      <c r="D26" s="21"/>
      <c r="E26" s="22">
        <v>7</v>
      </c>
      <c r="F26" s="22"/>
      <c r="G26" s="23">
        <v>0.0707070707070707</v>
      </c>
      <c r="H26" s="23"/>
    </row>
    <row r="27" spans="2:16" ht="22" customHeight="1" x14ac:dyDescent="0.25">
      <c r="B27" s="27" t="s">
        <v>23</v>
      </c>
      <c r="C27" s="27"/>
      <c r="D27" s="27"/>
      <c r="E27" s="28">
        <f>SUM(E24:E26)</f>
        <v>99</v>
      </c>
      <c r="F27" s="28"/>
      <c r="G27" s="29">
        <v>1</v>
      </c>
      <c r="H27" s="29"/>
    </row>
    <row r="30" spans="2:16" ht="27" customHeight="1" x14ac:dyDescent="0.25">
      <c r="B30" s="6" t="s">
        <v>29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8" t="s">
        <v>30</v>
      </c>
    </row>
    <row r="47" spans="2:15" ht="27" customHeight="1" x14ac:dyDescent="0.25">
      <c r="B47" s="6" t="s">
        <v>5</v>
      </c>
      <c r="C47" s="7"/>
      <c r="D47" s="7"/>
      <c r="E47" s="7"/>
      <c r="G47" s="6" t="s">
        <v>19</v>
      </c>
      <c r="H47" s="7"/>
      <c r="I47" s="7"/>
      <c r="J47" s="7"/>
      <c r="L47" s="6" t="s">
        <v>7</v>
      </c>
      <c r="M47" s="7"/>
      <c r="N47" s="7"/>
      <c r="O47" s="7"/>
    </row>
    <row r="65" spans="2:16" ht="27" customHeight="1" x14ac:dyDescent="0.25">
      <c r="B65" s="6" t="s">
        <v>31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2:16" ht="34" customHeight="1" x14ac:dyDescent="0.25">
      <c r="B66" s="30"/>
      <c r="C66" s="31" t="s">
        <v>32</v>
      </c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</row>
    <row r="67" spans="2:16" ht="6" customHeight="1" x14ac:dyDescent="0.25"/>
    <row r="68" spans="2:16" ht="34" customHeight="1" x14ac:dyDescent="0.25">
      <c r="B68" s="30"/>
      <c r="C68" s="31" t="s">
        <v>33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</row>
    <row r="69" spans="2:16" ht="6" customHeight="1" x14ac:dyDescent="0.25"/>
    <row r="70" spans="2:16" ht="34" customHeight="1" x14ac:dyDescent="0.25">
      <c r="B70" s="30"/>
      <c r="C70" s="31" t="s">
        <v>34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</row>
    <row r="71" spans="2:16" ht="6" customHeight="1" x14ac:dyDescent="0.25"/>
    <row r="72" spans="2:16" ht="34" customHeight="1" x14ac:dyDescent="0.25">
      <c r="B72" s="30"/>
      <c r="C72" s="31" t="s">
        <v>35</v>
      </c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</row>
    <row r="73" spans="2:16" ht="6" customHeight="1" x14ac:dyDescent="0.25"/>
  </sheetData>
  <mergeCells count="4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2:H22"/>
    <mergeCell ref="B23:D23"/>
    <mergeCell ref="E23:F23"/>
    <mergeCell ref="G23:H23"/>
    <mergeCell ref="B24:D24"/>
    <mergeCell ref="E24:F24"/>
    <mergeCell ref="G24:H24"/>
    <mergeCell ref="B25:D25"/>
    <mergeCell ref="E25:F25"/>
    <mergeCell ref="G25:H25"/>
    <mergeCell ref="B26:D26"/>
    <mergeCell ref="E26:F26"/>
    <mergeCell ref="G26:H26"/>
    <mergeCell ref="B27:D27"/>
    <mergeCell ref="E27:F27"/>
    <mergeCell ref="G27:H27"/>
    <mergeCell ref="C66:P66"/>
    <mergeCell ref="C68:P68"/>
    <mergeCell ref="C70:P70"/>
    <mergeCell ref="C72:P72"/>
  </mergeCells>
  <conditionalFormatting sqref="G24:G26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G24:G26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0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36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37</v>
      </c>
      <c r="C7" s="7"/>
      <c r="D7" s="7"/>
      <c r="E7" s="7"/>
      <c r="F7" s="7"/>
      <c r="G7" s="8" t="s">
        <v>38</v>
      </c>
    </row>
    <row r="8" spans="1:8" ht="36" customHeight="1">
      <c r="B8" s="19" t="s">
        <v>25</v>
      </c>
      <c r="C8" s="32" t="s">
        <v>39</v>
      </c>
      <c r="D8" s="32" t="s">
        <v>18</v>
      </c>
      <c r="E8" s="32" t="s">
        <v>40</v>
      </c>
      <c r="F8" s="32" t="s">
        <v>41</v>
      </c>
      <c r="G8" s="20" t="s">
        <v>42</v>
      </c>
    </row>
    <row r="9" spans="1:8" ht="19" customHeight="1">
      <c r="B9" s="21" t="s">
        <v>26</v>
      </c>
      <c r="C9" s="33" t="s">
        <v>43</v>
      </c>
      <c r="D9" s="33" t="s">
        <v>22</v>
      </c>
      <c r="E9" s="33" t="s">
        <v>44</v>
      </c>
      <c r="F9" s="33" t="s">
        <v>45</v>
      </c>
      <c r="G9" s="22">
        <v>1</v>
      </c>
    </row>
    <row r="10" spans="1:8" ht="19" customHeight="1">
      <c r="B10" s="24" t="s">
        <v>26</v>
      </c>
      <c r="C10" s="34" t="s">
        <v>43</v>
      </c>
      <c r="D10" s="34" t="s">
        <v>22</v>
      </c>
      <c r="E10" s="34" t="s">
        <v>46</v>
      </c>
      <c r="F10" s="34" t="s">
        <v>45</v>
      </c>
      <c r="G10" s="25">
        <v>1</v>
      </c>
    </row>
    <row r="11" spans="1:8" ht="19" customHeight="1">
      <c r="B11" s="21" t="s">
        <v>26</v>
      </c>
      <c r="C11" s="33" t="s">
        <v>43</v>
      </c>
      <c r="D11" s="33" t="s">
        <v>22</v>
      </c>
      <c r="E11" s="33" t="s">
        <v>47</v>
      </c>
      <c r="F11" s="33" t="s">
        <v>45</v>
      </c>
      <c r="G11" s="22">
        <v>1</v>
      </c>
    </row>
    <row r="12" spans="1:8" ht="19" customHeight="1">
      <c r="B12" s="24" t="s">
        <v>26</v>
      </c>
      <c r="C12" s="34" t="s">
        <v>43</v>
      </c>
      <c r="D12" s="34" t="s">
        <v>22</v>
      </c>
      <c r="E12" s="34" t="s">
        <v>48</v>
      </c>
      <c r="F12" s="34" t="s">
        <v>45</v>
      </c>
      <c r="G12" s="25">
        <v>1</v>
      </c>
    </row>
    <row r="13" spans="1:8" ht="19" customHeight="1">
      <c r="B13" s="21" t="s">
        <v>26</v>
      </c>
      <c r="C13" s="33" t="s">
        <v>43</v>
      </c>
      <c r="D13" s="33" t="s">
        <v>22</v>
      </c>
      <c r="E13" s="33" t="s">
        <v>49</v>
      </c>
      <c r="F13" s="33" t="s">
        <v>45</v>
      </c>
      <c r="G13" s="22">
        <v>1</v>
      </c>
    </row>
    <row r="14" spans="1:8" ht="19" customHeight="1">
      <c r="B14" s="24" t="s">
        <v>26</v>
      </c>
      <c r="C14" s="34" t="s">
        <v>43</v>
      </c>
      <c r="D14" s="34" t="s">
        <v>22</v>
      </c>
      <c r="E14" s="34" t="s">
        <v>50</v>
      </c>
      <c r="F14" s="34" t="s">
        <v>45</v>
      </c>
      <c r="G14" s="25">
        <v>1</v>
      </c>
    </row>
    <row r="15" spans="1:8" ht="19" customHeight="1">
      <c r="B15" s="21" t="s">
        <v>26</v>
      </c>
      <c r="C15" s="33" t="s">
        <v>43</v>
      </c>
      <c r="D15" s="33" t="s">
        <v>22</v>
      </c>
      <c r="E15" s="33" t="s">
        <v>51</v>
      </c>
      <c r="F15" s="33" t="s">
        <v>45</v>
      </c>
      <c r="G15" s="22">
        <v>1</v>
      </c>
    </row>
    <row r="16" spans="1:8" ht="19" customHeight="1">
      <c r="B16" s="24" t="s">
        <v>26</v>
      </c>
      <c r="C16" s="34" t="s">
        <v>43</v>
      </c>
      <c r="D16" s="34" t="s">
        <v>22</v>
      </c>
      <c r="E16" s="34" t="s">
        <v>52</v>
      </c>
      <c r="F16" s="34" t="s">
        <v>45</v>
      </c>
      <c r="G16" s="25">
        <v>1</v>
      </c>
    </row>
    <row r="17" spans="2:7" ht="19" customHeight="1">
      <c r="B17" s="21" t="s">
        <v>26</v>
      </c>
      <c r="C17" s="33" t="s">
        <v>43</v>
      </c>
      <c r="D17" s="33" t="s">
        <v>22</v>
      </c>
      <c r="E17" s="33" t="s">
        <v>53</v>
      </c>
      <c r="F17" s="33" t="s">
        <v>45</v>
      </c>
      <c r="G17" s="22">
        <v>1</v>
      </c>
    </row>
    <row r="18" spans="2:7" ht="19" customHeight="1">
      <c r="B18" s="24" t="s">
        <v>26</v>
      </c>
      <c r="C18" s="34" t="s">
        <v>54</v>
      </c>
      <c r="D18" s="34" t="s">
        <v>22</v>
      </c>
      <c r="E18" s="34" t="s">
        <v>55</v>
      </c>
      <c r="F18" s="34" t="s">
        <v>45</v>
      </c>
      <c r="G18" s="25">
        <v>1</v>
      </c>
    </row>
    <row r="19" spans="2:7" ht="19" customHeight="1">
      <c r="B19" s="21" t="s">
        <v>26</v>
      </c>
      <c r="C19" s="33" t="s">
        <v>54</v>
      </c>
      <c r="D19" s="33" t="s">
        <v>22</v>
      </c>
      <c r="E19" s="33" t="s">
        <v>56</v>
      </c>
      <c r="F19" s="33" t="s">
        <v>45</v>
      </c>
      <c r="G19" s="22">
        <v>1</v>
      </c>
    </row>
    <row r="20" spans="2:7" ht="19" customHeight="1">
      <c r="B20" s="24" t="s">
        <v>26</v>
      </c>
      <c r="C20" s="34" t="s">
        <v>54</v>
      </c>
      <c r="D20" s="34" t="s">
        <v>22</v>
      </c>
      <c r="E20" s="34" t="s">
        <v>57</v>
      </c>
      <c r="F20" s="34" t="s">
        <v>45</v>
      </c>
      <c r="G20" s="25">
        <v>1</v>
      </c>
    </row>
    <row r="21" spans="2:7" ht="19" customHeight="1">
      <c r="B21" s="21" t="s">
        <v>26</v>
      </c>
      <c r="C21" s="33" t="s">
        <v>58</v>
      </c>
      <c r="D21" s="33" t="s">
        <v>21</v>
      </c>
      <c r="E21" s="33" t="s">
        <v>58</v>
      </c>
      <c r="F21" s="33" t="s">
        <v>59</v>
      </c>
      <c r="G21" s="22">
        <v>1</v>
      </c>
    </row>
    <row r="22" spans="2:7" ht="19" customHeight="1">
      <c r="B22" s="24" t="s">
        <v>26</v>
      </c>
      <c r="C22" s="34" t="s">
        <v>58</v>
      </c>
      <c r="D22" s="34" t="s">
        <v>21</v>
      </c>
      <c r="E22" s="34" t="s">
        <v>58</v>
      </c>
      <c r="F22" s="34" t="s">
        <v>59</v>
      </c>
      <c r="G22" s="25">
        <v>1</v>
      </c>
    </row>
    <row r="23" spans="2:7" ht="19" customHeight="1">
      <c r="B23" s="21" t="s">
        <v>26</v>
      </c>
      <c r="C23" s="33" t="s">
        <v>58</v>
      </c>
      <c r="D23" s="33" t="s">
        <v>21</v>
      </c>
      <c r="E23" s="33" t="s">
        <v>58</v>
      </c>
      <c r="F23" s="33" t="s">
        <v>59</v>
      </c>
      <c r="G23" s="22">
        <v>1</v>
      </c>
    </row>
    <row r="24" spans="2:7" ht="19" customHeight="1">
      <c r="B24" s="24" t="s">
        <v>26</v>
      </c>
      <c r="C24" s="34" t="s">
        <v>58</v>
      </c>
      <c r="D24" s="34" t="s">
        <v>21</v>
      </c>
      <c r="E24" s="34" t="s">
        <v>58</v>
      </c>
      <c r="F24" s="34" t="s">
        <v>59</v>
      </c>
      <c r="G24" s="25">
        <v>1</v>
      </c>
    </row>
    <row r="25" spans="2:7" ht="19" customHeight="1">
      <c r="B25" s="21" t="s">
        <v>26</v>
      </c>
      <c r="C25" s="33" t="s">
        <v>58</v>
      </c>
      <c r="D25" s="33" t="s">
        <v>21</v>
      </c>
      <c r="E25" s="33" t="s">
        <v>58</v>
      </c>
      <c r="F25" s="33" t="s">
        <v>59</v>
      </c>
      <c r="G25" s="22">
        <v>1</v>
      </c>
    </row>
    <row r="26" spans="2:7" ht="19" customHeight="1">
      <c r="B26" s="24" t="s">
        <v>26</v>
      </c>
      <c r="C26" s="34" t="s">
        <v>58</v>
      </c>
      <c r="D26" s="34" t="s">
        <v>21</v>
      </c>
      <c r="E26" s="34" t="s">
        <v>58</v>
      </c>
      <c r="F26" s="34" t="s">
        <v>59</v>
      </c>
      <c r="G26" s="25">
        <v>1</v>
      </c>
    </row>
    <row r="27" spans="2:7" ht="19" customHeight="1">
      <c r="B27" s="21" t="s">
        <v>26</v>
      </c>
      <c r="C27" s="33" t="s">
        <v>58</v>
      </c>
      <c r="D27" s="33" t="s">
        <v>21</v>
      </c>
      <c r="E27" s="33" t="s">
        <v>58</v>
      </c>
      <c r="F27" s="33" t="s">
        <v>59</v>
      </c>
      <c r="G27" s="22">
        <v>1</v>
      </c>
    </row>
    <row r="28" spans="2:7" ht="19" customHeight="1">
      <c r="B28" s="24" t="s">
        <v>26</v>
      </c>
      <c r="C28" s="34" t="s">
        <v>58</v>
      </c>
      <c r="D28" s="34" t="s">
        <v>21</v>
      </c>
      <c r="E28" s="34" t="s">
        <v>58</v>
      </c>
      <c r="F28" s="34" t="s">
        <v>59</v>
      </c>
      <c r="G28" s="25">
        <v>1</v>
      </c>
    </row>
    <row r="29" spans="2:7" ht="19" customHeight="1">
      <c r="B29" s="21" t="s">
        <v>26</v>
      </c>
      <c r="C29" s="33" t="s">
        <v>58</v>
      </c>
      <c r="D29" s="33" t="s">
        <v>21</v>
      </c>
      <c r="E29" s="33" t="s">
        <v>58</v>
      </c>
      <c r="F29" s="33" t="s">
        <v>59</v>
      </c>
      <c r="G29" s="22">
        <v>1</v>
      </c>
    </row>
    <row r="30" spans="2:7" ht="19" customHeight="1">
      <c r="B30" s="24" t="s">
        <v>26</v>
      </c>
      <c r="C30" s="34" t="s">
        <v>58</v>
      </c>
      <c r="D30" s="34" t="s">
        <v>21</v>
      </c>
      <c r="E30" s="34" t="s">
        <v>58</v>
      </c>
      <c r="F30" s="34" t="s">
        <v>59</v>
      </c>
      <c r="G30" s="25">
        <v>1</v>
      </c>
    </row>
    <row r="31" spans="2:7" ht="19" customHeight="1">
      <c r="B31" s="21" t="s">
        <v>26</v>
      </c>
      <c r="C31" s="33" t="s">
        <v>58</v>
      </c>
      <c r="D31" s="33" t="s">
        <v>21</v>
      </c>
      <c r="E31" s="33" t="s">
        <v>58</v>
      </c>
      <c r="F31" s="33" t="s">
        <v>59</v>
      </c>
      <c r="G31" s="22">
        <v>1</v>
      </c>
    </row>
    <row r="32" spans="2:7" ht="19" customHeight="1">
      <c r="B32" s="24" t="s">
        <v>26</v>
      </c>
      <c r="C32" s="34" t="s">
        <v>58</v>
      </c>
      <c r="D32" s="34" t="s">
        <v>21</v>
      </c>
      <c r="E32" s="34" t="s">
        <v>58</v>
      </c>
      <c r="F32" s="34" t="s">
        <v>59</v>
      </c>
      <c r="G32" s="25">
        <v>1</v>
      </c>
    </row>
    <row r="33" spans="2:7" ht="19" customHeight="1">
      <c r="B33" s="21" t="s">
        <v>26</v>
      </c>
      <c r="C33" s="33" t="s">
        <v>58</v>
      </c>
      <c r="D33" s="33" t="s">
        <v>21</v>
      </c>
      <c r="E33" s="33" t="s">
        <v>58</v>
      </c>
      <c r="F33" s="33" t="s">
        <v>59</v>
      </c>
      <c r="G33" s="22">
        <v>1</v>
      </c>
    </row>
    <row r="34" spans="2:7" ht="19" customHeight="1">
      <c r="B34" s="24" t="s">
        <v>26</v>
      </c>
      <c r="C34" s="34" t="s">
        <v>58</v>
      </c>
      <c r="D34" s="34" t="s">
        <v>21</v>
      </c>
      <c r="E34" s="34" t="s">
        <v>58</v>
      </c>
      <c r="F34" s="34" t="s">
        <v>59</v>
      </c>
      <c r="G34" s="25">
        <v>1</v>
      </c>
    </row>
    <row r="35" spans="2:7" ht="19" customHeight="1">
      <c r="B35" s="21" t="s">
        <v>26</v>
      </c>
      <c r="C35" s="33" t="s">
        <v>58</v>
      </c>
      <c r="D35" s="33" t="s">
        <v>21</v>
      </c>
      <c r="E35" s="33" t="s">
        <v>58</v>
      </c>
      <c r="F35" s="33" t="s">
        <v>59</v>
      </c>
      <c r="G35" s="22">
        <v>1</v>
      </c>
    </row>
    <row r="36" spans="2:7" ht="19" customHeight="1">
      <c r="B36" s="24" t="s">
        <v>26</v>
      </c>
      <c r="C36" s="34" t="s">
        <v>58</v>
      </c>
      <c r="D36" s="34" t="s">
        <v>21</v>
      </c>
      <c r="E36" s="34" t="s">
        <v>58</v>
      </c>
      <c r="F36" s="34" t="s">
        <v>59</v>
      </c>
      <c r="G36" s="25">
        <v>1</v>
      </c>
    </row>
    <row r="37" spans="2:7" ht="19" customHeight="1">
      <c r="B37" s="21" t="s">
        <v>26</v>
      </c>
      <c r="C37" s="33" t="s">
        <v>58</v>
      </c>
      <c r="D37" s="33" t="s">
        <v>21</v>
      </c>
      <c r="E37" s="33" t="s">
        <v>58</v>
      </c>
      <c r="F37" s="33" t="s">
        <v>59</v>
      </c>
      <c r="G37" s="22">
        <v>1</v>
      </c>
    </row>
    <row r="38" spans="2:7" ht="19" customHeight="1">
      <c r="B38" s="24" t="s">
        <v>26</v>
      </c>
      <c r="C38" s="34" t="s">
        <v>58</v>
      </c>
      <c r="D38" s="34" t="s">
        <v>21</v>
      </c>
      <c r="E38" s="34" t="s">
        <v>58</v>
      </c>
      <c r="F38" s="34" t="s">
        <v>59</v>
      </c>
      <c r="G38" s="25">
        <v>1</v>
      </c>
    </row>
    <row r="39" spans="2:7" ht="19" customHeight="1">
      <c r="B39" s="21" t="s">
        <v>26</v>
      </c>
      <c r="C39" s="33" t="s">
        <v>58</v>
      </c>
      <c r="D39" s="33" t="s">
        <v>21</v>
      </c>
      <c r="E39" s="33" t="s">
        <v>58</v>
      </c>
      <c r="F39" s="33" t="s">
        <v>59</v>
      </c>
      <c r="G39" s="22">
        <v>1</v>
      </c>
    </row>
    <row r="40" spans="2:7" ht="19" customHeight="1">
      <c r="B40" s="24" t="s">
        <v>26</v>
      </c>
      <c r="C40" s="34" t="s">
        <v>58</v>
      </c>
      <c r="D40" s="34" t="s">
        <v>21</v>
      </c>
      <c r="E40" s="34" t="s">
        <v>58</v>
      </c>
      <c r="F40" s="34" t="s">
        <v>59</v>
      </c>
      <c r="G40" s="25">
        <v>1</v>
      </c>
    </row>
    <row r="41" spans="2:7" ht="19" customHeight="1">
      <c r="B41" s="21" t="s">
        <v>26</v>
      </c>
      <c r="C41" s="33" t="s">
        <v>58</v>
      </c>
      <c r="D41" s="33" t="s">
        <v>21</v>
      </c>
      <c r="E41" s="33" t="s">
        <v>58</v>
      </c>
      <c r="F41" s="33" t="s">
        <v>59</v>
      </c>
      <c r="G41" s="22">
        <v>1</v>
      </c>
    </row>
    <row r="42" spans="2:7" ht="19" customHeight="1">
      <c r="B42" s="24" t="s">
        <v>26</v>
      </c>
      <c r="C42" s="34" t="s">
        <v>58</v>
      </c>
      <c r="D42" s="34" t="s">
        <v>21</v>
      </c>
      <c r="E42" s="34" t="s">
        <v>58</v>
      </c>
      <c r="F42" s="34" t="s">
        <v>59</v>
      </c>
      <c r="G42" s="25">
        <v>1</v>
      </c>
    </row>
    <row r="43" spans="2:7" ht="19" customHeight="1">
      <c r="B43" s="21" t="s">
        <v>26</v>
      </c>
      <c r="C43" s="33" t="s">
        <v>58</v>
      </c>
      <c r="D43" s="33" t="s">
        <v>21</v>
      </c>
      <c r="E43" s="33" t="s">
        <v>58</v>
      </c>
      <c r="F43" s="33" t="s">
        <v>59</v>
      </c>
      <c r="G43" s="22">
        <v>1</v>
      </c>
    </row>
    <row r="44" spans="2:7" ht="19" customHeight="1">
      <c r="B44" s="24" t="s">
        <v>26</v>
      </c>
      <c r="C44" s="34" t="s">
        <v>58</v>
      </c>
      <c r="D44" s="34" t="s">
        <v>21</v>
      </c>
      <c r="E44" s="34" t="s">
        <v>58</v>
      </c>
      <c r="F44" s="34" t="s">
        <v>59</v>
      </c>
      <c r="G44" s="25">
        <v>1</v>
      </c>
    </row>
    <row r="45" spans="2:7" ht="19" customHeight="1">
      <c r="B45" s="21" t="s">
        <v>26</v>
      </c>
      <c r="C45" s="33" t="s">
        <v>58</v>
      </c>
      <c r="D45" s="33" t="s">
        <v>21</v>
      </c>
      <c r="E45" s="33" t="s">
        <v>58</v>
      </c>
      <c r="F45" s="33" t="s">
        <v>59</v>
      </c>
      <c r="G45" s="22">
        <v>1</v>
      </c>
    </row>
    <row r="46" spans="2:7" ht="19" customHeight="1">
      <c r="B46" s="24" t="s">
        <v>26</v>
      </c>
      <c r="C46" s="34" t="s">
        <v>58</v>
      </c>
      <c r="D46" s="34" t="s">
        <v>21</v>
      </c>
      <c r="E46" s="34" t="s">
        <v>58</v>
      </c>
      <c r="F46" s="34" t="s">
        <v>59</v>
      </c>
      <c r="G46" s="25">
        <v>1</v>
      </c>
    </row>
    <row r="47" spans="2:7" ht="19" customHeight="1">
      <c r="B47" s="21" t="s">
        <v>26</v>
      </c>
      <c r="C47" s="33" t="s">
        <v>58</v>
      </c>
      <c r="D47" s="33" t="s">
        <v>21</v>
      </c>
      <c r="E47" s="33" t="s">
        <v>58</v>
      </c>
      <c r="F47" s="33" t="s">
        <v>59</v>
      </c>
      <c r="G47" s="22">
        <v>1</v>
      </c>
    </row>
    <row r="48" spans="2:7" ht="19" customHeight="1">
      <c r="B48" s="24" t="s">
        <v>26</v>
      </c>
      <c r="C48" s="34" t="s">
        <v>58</v>
      </c>
      <c r="D48" s="34" t="s">
        <v>21</v>
      </c>
      <c r="E48" s="34" t="s">
        <v>58</v>
      </c>
      <c r="F48" s="34" t="s">
        <v>59</v>
      </c>
      <c r="G48" s="25">
        <v>1</v>
      </c>
    </row>
    <row r="49" spans="2:7" ht="19" customHeight="1">
      <c r="B49" s="21" t="s">
        <v>26</v>
      </c>
      <c r="C49" s="33" t="s">
        <v>58</v>
      </c>
      <c r="D49" s="33" t="s">
        <v>21</v>
      </c>
      <c r="E49" s="33" t="s">
        <v>58</v>
      </c>
      <c r="F49" s="33" t="s">
        <v>59</v>
      </c>
      <c r="G49" s="22">
        <v>1</v>
      </c>
    </row>
    <row r="50" spans="2:7" ht="19" customHeight="1">
      <c r="B50" s="24" t="s">
        <v>26</v>
      </c>
      <c r="C50" s="34" t="s">
        <v>58</v>
      </c>
      <c r="D50" s="34" t="s">
        <v>21</v>
      </c>
      <c r="E50" s="34" t="s">
        <v>58</v>
      </c>
      <c r="F50" s="34" t="s">
        <v>59</v>
      </c>
      <c r="G50" s="25">
        <v>1</v>
      </c>
    </row>
    <row r="51" spans="2:7" ht="19" customHeight="1">
      <c r="B51" s="21" t="s">
        <v>26</v>
      </c>
      <c r="C51" s="33" t="s">
        <v>58</v>
      </c>
      <c r="D51" s="33" t="s">
        <v>21</v>
      </c>
      <c r="E51" s="33" t="s">
        <v>58</v>
      </c>
      <c r="F51" s="33" t="s">
        <v>59</v>
      </c>
      <c r="G51" s="22">
        <v>1</v>
      </c>
    </row>
    <row r="52" spans="2:7" ht="19" customHeight="1">
      <c r="B52" s="24" t="s">
        <v>26</v>
      </c>
      <c r="C52" s="34" t="s">
        <v>58</v>
      </c>
      <c r="D52" s="34" t="s">
        <v>21</v>
      </c>
      <c r="E52" s="34" t="s">
        <v>58</v>
      </c>
      <c r="F52" s="34" t="s">
        <v>59</v>
      </c>
      <c r="G52" s="25">
        <v>1</v>
      </c>
    </row>
    <row r="53" spans="2:7" ht="19" customHeight="1">
      <c r="B53" s="21" t="s">
        <v>26</v>
      </c>
      <c r="C53" s="33" t="s">
        <v>58</v>
      </c>
      <c r="D53" s="33" t="s">
        <v>21</v>
      </c>
      <c r="E53" s="33" t="s">
        <v>58</v>
      </c>
      <c r="F53" s="33" t="s">
        <v>59</v>
      </c>
      <c r="G53" s="22">
        <v>1</v>
      </c>
    </row>
    <row r="54" spans="2:7" ht="19" customHeight="1">
      <c r="B54" s="24" t="s">
        <v>26</v>
      </c>
      <c r="C54" s="34" t="s">
        <v>58</v>
      </c>
      <c r="D54" s="34" t="s">
        <v>21</v>
      </c>
      <c r="E54" s="34" t="s">
        <v>58</v>
      </c>
      <c r="F54" s="34" t="s">
        <v>59</v>
      </c>
      <c r="G54" s="25">
        <v>1</v>
      </c>
    </row>
    <row r="55" spans="2:7" ht="19" customHeight="1">
      <c r="B55" s="21" t="s">
        <v>26</v>
      </c>
      <c r="C55" s="33" t="s">
        <v>58</v>
      </c>
      <c r="D55" s="33" t="s">
        <v>21</v>
      </c>
      <c r="E55" s="33" t="s">
        <v>58</v>
      </c>
      <c r="F55" s="33" t="s">
        <v>59</v>
      </c>
      <c r="G55" s="22">
        <v>1</v>
      </c>
    </row>
    <row r="56" spans="2:7" ht="19" customHeight="1">
      <c r="B56" s="24" t="s">
        <v>26</v>
      </c>
      <c r="C56" s="34" t="s">
        <v>58</v>
      </c>
      <c r="D56" s="34" t="s">
        <v>21</v>
      </c>
      <c r="E56" s="34" t="s">
        <v>58</v>
      </c>
      <c r="F56" s="34" t="s">
        <v>59</v>
      </c>
      <c r="G56" s="25">
        <v>1</v>
      </c>
    </row>
    <row r="57" spans="2:7" ht="19" customHeight="1">
      <c r="B57" s="21" t="s">
        <v>26</v>
      </c>
      <c r="C57" s="33" t="s">
        <v>58</v>
      </c>
      <c r="D57" s="33" t="s">
        <v>21</v>
      </c>
      <c r="E57" s="33" t="s">
        <v>58</v>
      </c>
      <c r="F57" s="33" t="s">
        <v>59</v>
      </c>
      <c r="G57" s="22">
        <v>1</v>
      </c>
    </row>
    <row r="58" spans="2:7" ht="19" customHeight="1">
      <c r="B58" s="24" t="s">
        <v>26</v>
      </c>
      <c r="C58" s="34" t="s">
        <v>58</v>
      </c>
      <c r="D58" s="34" t="s">
        <v>21</v>
      </c>
      <c r="E58" s="34" t="s">
        <v>58</v>
      </c>
      <c r="F58" s="34" t="s">
        <v>59</v>
      </c>
      <c r="G58" s="25">
        <v>1</v>
      </c>
    </row>
    <row r="59" spans="2:7" ht="19" customHeight="1">
      <c r="B59" s="21" t="s">
        <v>26</v>
      </c>
      <c r="C59" s="33" t="s">
        <v>58</v>
      </c>
      <c r="D59" s="33" t="s">
        <v>21</v>
      </c>
      <c r="E59" s="33" t="s">
        <v>58</v>
      </c>
      <c r="F59" s="33" t="s">
        <v>59</v>
      </c>
      <c r="G59" s="22">
        <v>1</v>
      </c>
    </row>
    <row r="60" spans="2:7" ht="19" customHeight="1">
      <c r="B60" s="24" t="s">
        <v>26</v>
      </c>
      <c r="C60" s="34" t="s">
        <v>58</v>
      </c>
      <c r="D60" s="34" t="s">
        <v>21</v>
      </c>
      <c r="E60" s="34" t="s">
        <v>58</v>
      </c>
      <c r="F60" s="34" t="s">
        <v>59</v>
      </c>
      <c r="G60" s="25">
        <v>1</v>
      </c>
    </row>
    <row r="61" spans="2:7" ht="19" customHeight="1">
      <c r="B61" s="21" t="s">
        <v>26</v>
      </c>
      <c r="C61" s="33" t="s">
        <v>58</v>
      </c>
      <c r="D61" s="33" t="s">
        <v>21</v>
      </c>
      <c r="E61" s="33" t="s">
        <v>58</v>
      </c>
      <c r="F61" s="33" t="s">
        <v>59</v>
      </c>
      <c r="G61" s="22">
        <v>1</v>
      </c>
    </row>
    <row r="62" spans="2:7" ht="19" customHeight="1">
      <c r="B62" s="24" t="s">
        <v>26</v>
      </c>
      <c r="C62" s="34" t="s">
        <v>58</v>
      </c>
      <c r="D62" s="34" t="s">
        <v>21</v>
      </c>
      <c r="E62" s="34" t="s">
        <v>58</v>
      </c>
      <c r="F62" s="34" t="s">
        <v>59</v>
      </c>
      <c r="G62" s="25">
        <v>1</v>
      </c>
    </row>
    <row r="63" spans="2:7" ht="19" customHeight="1">
      <c r="B63" s="21" t="s">
        <v>26</v>
      </c>
      <c r="C63" s="33" t="s">
        <v>58</v>
      </c>
      <c r="D63" s="33" t="s">
        <v>21</v>
      </c>
      <c r="E63" s="33" t="s">
        <v>58</v>
      </c>
      <c r="F63" s="33" t="s">
        <v>59</v>
      </c>
      <c r="G63" s="22">
        <v>1</v>
      </c>
    </row>
    <row r="64" spans="2:7" ht="19" customHeight="1">
      <c r="B64" s="24" t="s">
        <v>26</v>
      </c>
      <c r="C64" s="34" t="s">
        <v>58</v>
      </c>
      <c r="D64" s="34" t="s">
        <v>21</v>
      </c>
      <c r="E64" s="34" t="s">
        <v>58</v>
      </c>
      <c r="F64" s="34" t="s">
        <v>59</v>
      </c>
      <c r="G64" s="25">
        <v>1</v>
      </c>
    </row>
    <row r="65" spans="2:7" ht="19" customHeight="1">
      <c r="B65" s="21" t="s">
        <v>26</v>
      </c>
      <c r="C65" s="33" t="s">
        <v>58</v>
      </c>
      <c r="D65" s="33" t="s">
        <v>21</v>
      </c>
      <c r="E65" s="33" t="s">
        <v>58</v>
      </c>
      <c r="F65" s="33" t="s">
        <v>59</v>
      </c>
      <c r="G65" s="22">
        <v>1</v>
      </c>
    </row>
    <row r="66" spans="2:7" ht="19" customHeight="1">
      <c r="B66" s="24" t="s">
        <v>26</v>
      </c>
      <c r="C66" s="34" t="s">
        <v>58</v>
      </c>
      <c r="D66" s="34" t="s">
        <v>21</v>
      </c>
      <c r="E66" s="34" t="s">
        <v>58</v>
      </c>
      <c r="F66" s="34" t="s">
        <v>59</v>
      </c>
      <c r="G66" s="25">
        <v>1</v>
      </c>
    </row>
    <row r="67" spans="2:7" ht="19" customHeight="1">
      <c r="B67" s="21" t="s">
        <v>26</v>
      </c>
      <c r="C67" s="33" t="s">
        <v>58</v>
      </c>
      <c r="D67" s="33" t="s">
        <v>21</v>
      </c>
      <c r="E67" s="33" t="s">
        <v>58</v>
      </c>
      <c r="F67" s="33" t="s">
        <v>59</v>
      </c>
      <c r="G67" s="22">
        <v>1</v>
      </c>
    </row>
    <row r="68" spans="2:7" ht="19" customHeight="1">
      <c r="B68" s="24" t="s">
        <v>26</v>
      </c>
      <c r="C68" s="34" t="s">
        <v>58</v>
      </c>
      <c r="D68" s="34" t="s">
        <v>21</v>
      </c>
      <c r="E68" s="34" t="s">
        <v>58</v>
      </c>
      <c r="F68" s="34" t="s">
        <v>59</v>
      </c>
      <c r="G68" s="25">
        <v>1</v>
      </c>
    </row>
    <row r="69" spans="2:7" ht="19" customHeight="1">
      <c r="B69" s="21" t="s">
        <v>26</v>
      </c>
      <c r="C69" s="33" t="s">
        <v>58</v>
      </c>
      <c r="D69" s="33" t="s">
        <v>21</v>
      </c>
      <c r="E69" s="33" t="s">
        <v>58</v>
      </c>
      <c r="F69" s="33" t="s">
        <v>59</v>
      </c>
      <c r="G69" s="22">
        <v>1</v>
      </c>
    </row>
    <row r="70" spans="2:7" ht="19" customHeight="1">
      <c r="B70" s="24" t="s">
        <v>26</v>
      </c>
      <c r="C70" s="34" t="s">
        <v>58</v>
      </c>
      <c r="D70" s="34" t="s">
        <v>21</v>
      </c>
      <c r="E70" s="34" t="s">
        <v>58</v>
      </c>
      <c r="F70" s="34" t="s">
        <v>59</v>
      </c>
      <c r="G70" s="25">
        <v>1</v>
      </c>
    </row>
    <row r="71" spans="2:7" ht="19" customHeight="1">
      <c r="B71" s="21" t="s">
        <v>26</v>
      </c>
      <c r="C71" s="33" t="s">
        <v>58</v>
      </c>
      <c r="D71" s="33" t="s">
        <v>21</v>
      </c>
      <c r="E71" s="33" t="s">
        <v>58</v>
      </c>
      <c r="F71" s="33" t="s">
        <v>59</v>
      </c>
      <c r="G71" s="22">
        <v>1</v>
      </c>
    </row>
    <row r="72" spans="2:7" ht="19" customHeight="1">
      <c r="B72" s="24" t="s">
        <v>26</v>
      </c>
      <c r="C72" s="34" t="s">
        <v>58</v>
      </c>
      <c r="D72" s="34" t="s">
        <v>21</v>
      </c>
      <c r="E72" s="34" t="s">
        <v>58</v>
      </c>
      <c r="F72" s="34" t="s">
        <v>59</v>
      </c>
      <c r="G72" s="25">
        <v>1</v>
      </c>
    </row>
    <row r="73" spans="2:7" ht="19" customHeight="1">
      <c r="B73" s="21" t="s">
        <v>26</v>
      </c>
      <c r="C73" s="33" t="s">
        <v>58</v>
      </c>
      <c r="D73" s="33" t="s">
        <v>21</v>
      </c>
      <c r="E73" s="33" t="s">
        <v>58</v>
      </c>
      <c r="F73" s="33" t="s">
        <v>59</v>
      </c>
      <c r="G73" s="22">
        <v>1</v>
      </c>
    </row>
    <row r="74" spans="2:7" ht="19" customHeight="1">
      <c r="B74" s="24" t="s">
        <v>26</v>
      </c>
      <c r="C74" s="34" t="s">
        <v>58</v>
      </c>
      <c r="D74" s="34" t="s">
        <v>21</v>
      </c>
      <c r="E74" s="34" t="s">
        <v>58</v>
      </c>
      <c r="F74" s="34" t="s">
        <v>59</v>
      </c>
      <c r="G74" s="25">
        <v>1</v>
      </c>
    </row>
    <row r="75" spans="2:7" ht="19" customHeight="1">
      <c r="B75" s="21" t="s">
        <v>26</v>
      </c>
      <c r="C75" s="33" t="s">
        <v>58</v>
      </c>
      <c r="D75" s="33" t="s">
        <v>21</v>
      </c>
      <c r="E75" s="33" t="s">
        <v>58</v>
      </c>
      <c r="F75" s="33" t="s">
        <v>59</v>
      </c>
      <c r="G75" s="22">
        <v>1</v>
      </c>
    </row>
    <row r="76" spans="2:7" ht="19" customHeight="1">
      <c r="B76" s="24" t="s">
        <v>26</v>
      </c>
      <c r="C76" s="34" t="s">
        <v>58</v>
      </c>
      <c r="D76" s="34" t="s">
        <v>21</v>
      </c>
      <c r="E76" s="34" t="s">
        <v>58</v>
      </c>
      <c r="F76" s="34" t="s">
        <v>59</v>
      </c>
      <c r="G76" s="25">
        <v>1</v>
      </c>
    </row>
    <row r="77" spans="2:7" ht="19" customHeight="1">
      <c r="B77" s="21" t="s">
        <v>26</v>
      </c>
      <c r="C77" s="33" t="s">
        <v>58</v>
      </c>
      <c r="D77" s="33" t="s">
        <v>21</v>
      </c>
      <c r="E77" s="33" t="s">
        <v>58</v>
      </c>
      <c r="F77" s="33" t="s">
        <v>59</v>
      </c>
      <c r="G77" s="22">
        <v>1</v>
      </c>
    </row>
    <row r="78" spans="2:7" ht="19" customHeight="1">
      <c r="B78" s="24" t="s">
        <v>26</v>
      </c>
      <c r="C78" s="34" t="s">
        <v>58</v>
      </c>
      <c r="D78" s="34" t="s">
        <v>21</v>
      </c>
      <c r="E78" s="34" t="s">
        <v>58</v>
      </c>
      <c r="F78" s="34" t="s">
        <v>59</v>
      </c>
      <c r="G78" s="25">
        <v>1</v>
      </c>
    </row>
    <row r="79" spans="2:7" ht="19" customHeight="1">
      <c r="B79" s="21" t="s">
        <v>26</v>
      </c>
      <c r="C79" s="33" t="s">
        <v>58</v>
      </c>
      <c r="D79" s="33" t="s">
        <v>21</v>
      </c>
      <c r="E79" s="33" t="s">
        <v>58</v>
      </c>
      <c r="F79" s="33" t="s">
        <v>59</v>
      </c>
      <c r="G79" s="22">
        <v>1</v>
      </c>
    </row>
    <row r="80" spans="2:7" ht="19" customHeight="1">
      <c r="B80" s="24" t="s">
        <v>26</v>
      </c>
      <c r="C80" s="34" t="s">
        <v>58</v>
      </c>
      <c r="D80" s="34" t="s">
        <v>21</v>
      </c>
      <c r="E80" s="34" t="s">
        <v>58</v>
      </c>
      <c r="F80" s="34" t="s">
        <v>59</v>
      </c>
      <c r="G80" s="25">
        <v>1</v>
      </c>
    </row>
    <row r="81" spans="2:7" ht="19" customHeight="1">
      <c r="B81" s="21" t="s">
        <v>26</v>
      </c>
      <c r="C81" s="33" t="s">
        <v>58</v>
      </c>
      <c r="D81" s="33" t="s">
        <v>21</v>
      </c>
      <c r="E81" s="33" t="s">
        <v>58</v>
      </c>
      <c r="F81" s="33" t="s">
        <v>59</v>
      </c>
      <c r="G81" s="22">
        <v>1</v>
      </c>
    </row>
    <row r="82" spans="2:7" ht="19" customHeight="1">
      <c r="B82" s="24" t="s">
        <v>26</v>
      </c>
      <c r="C82" s="34" t="s">
        <v>58</v>
      </c>
      <c r="D82" s="34" t="s">
        <v>21</v>
      </c>
      <c r="E82" s="34" t="s">
        <v>58</v>
      </c>
      <c r="F82" s="34" t="s">
        <v>59</v>
      </c>
      <c r="G82" s="25">
        <v>1</v>
      </c>
    </row>
    <row r="83" spans="2:7" ht="19" customHeight="1">
      <c r="B83" s="21" t="s">
        <v>26</v>
      </c>
      <c r="C83" s="33" t="s">
        <v>58</v>
      </c>
      <c r="D83" s="33" t="s">
        <v>21</v>
      </c>
      <c r="E83" s="33" t="s">
        <v>58</v>
      </c>
      <c r="F83" s="33" t="s">
        <v>59</v>
      </c>
      <c r="G83" s="22">
        <v>1</v>
      </c>
    </row>
    <row r="84" spans="2:7" ht="19" customHeight="1">
      <c r="B84" s="24" t="s">
        <v>27</v>
      </c>
      <c r="C84" s="34" t="s">
        <v>60</v>
      </c>
      <c r="D84" s="34" t="s">
        <v>22</v>
      </c>
      <c r="E84" s="34" t="s">
        <v>61</v>
      </c>
      <c r="F84" s="34" t="s">
        <v>45</v>
      </c>
      <c r="G84" s="25">
        <v>1</v>
      </c>
    </row>
    <row r="85" spans="2:7" ht="19" customHeight="1">
      <c r="B85" s="21" t="s">
        <v>27</v>
      </c>
      <c r="C85" s="33" t="s">
        <v>60</v>
      </c>
      <c r="D85" s="33" t="s">
        <v>22</v>
      </c>
      <c r="E85" s="33" t="s">
        <v>62</v>
      </c>
      <c r="F85" s="33" t="s">
        <v>45</v>
      </c>
      <c r="G85" s="22">
        <v>1</v>
      </c>
    </row>
    <row r="86" spans="2:7" ht="19" customHeight="1">
      <c r="B86" s="24" t="s">
        <v>27</v>
      </c>
      <c r="C86" s="34" t="s">
        <v>60</v>
      </c>
      <c r="D86" s="34" t="s">
        <v>22</v>
      </c>
      <c r="E86" s="34" t="s">
        <v>63</v>
      </c>
      <c r="F86" s="34" t="s">
        <v>45</v>
      </c>
      <c r="G86" s="25">
        <v>1</v>
      </c>
    </row>
    <row r="87" spans="2:7" ht="19" customHeight="1">
      <c r="B87" s="21" t="s">
        <v>27</v>
      </c>
      <c r="C87" s="33" t="s">
        <v>60</v>
      </c>
      <c r="D87" s="33" t="s">
        <v>22</v>
      </c>
      <c r="E87" s="33" t="s">
        <v>64</v>
      </c>
      <c r="F87" s="33" t="s">
        <v>45</v>
      </c>
      <c r="G87" s="22">
        <v>1</v>
      </c>
    </row>
    <row r="88" spans="2:7" ht="19" customHeight="1">
      <c r="B88" s="24" t="s">
        <v>27</v>
      </c>
      <c r="C88" s="34" t="s">
        <v>60</v>
      </c>
      <c r="D88" s="34" t="s">
        <v>22</v>
      </c>
      <c r="E88" s="34" t="s">
        <v>65</v>
      </c>
      <c r="F88" s="34" t="s">
        <v>45</v>
      </c>
      <c r="G88" s="25">
        <v>1</v>
      </c>
    </row>
    <row r="89" spans="2:7" ht="19" customHeight="1">
      <c r="B89" s="21" t="s">
        <v>27</v>
      </c>
      <c r="C89" s="33" t="s">
        <v>60</v>
      </c>
      <c r="D89" s="33" t="s">
        <v>22</v>
      </c>
      <c r="E89" s="33" t="s">
        <v>66</v>
      </c>
      <c r="F89" s="33" t="s">
        <v>45</v>
      </c>
      <c r="G89" s="22">
        <v>1</v>
      </c>
    </row>
    <row r="90" spans="2:7" ht="19" customHeight="1">
      <c r="B90" s="24" t="s">
        <v>27</v>
      </c>
      <c r="C90" s="34" t="s">
        <v>60</v>
      </c>
      <c r="D90" s="34" t="s">
        <v>22</v>
      </c>
      <c r="E90" s="34" t="s">
        <v>67</v>
      </c>
      <c r="F90" s="34" t="s">
        <v>45</v>
      </c>
      <c r="G90" s="25">
        <v>1</v>
      </c>
    </row>
    <row r="91" spans="2:7" ht="19" customHeight="1">
      <c r="B91" s="21" t="s">
        <v>27</v>
      </c>
      <c r="C91" s="33" t="s">
        <v>60</v>
      </c>
      <c r="D91" s="33" t="s">
        <v>22</v>
      </c>
      <c r="E91" s="33" t="s">
        <v>68</v>
      </c>
      <c r="F91" s="33" t="s">
        <v>45</v>
      </c>
      <c r="G91" s="22">
        <v>1</v>
      </c>
    </row>
    <row r="92" spans="2:7" ht="19" customHeight="1">
      <c r="B92" s="24" t="s">
        <v>27</v>
      </c>
      <c r="C92" s="34" t="s">
        <v>60</v>
      </c>
      <c r="D92" s="34" t="s">
        <v>22</v>
      </c>
      <c r="E92" s="34" t="s">
        <v>69</v>
      </c>
      <c r="F92" s="34" t="s">
        <v>45</v>
      </c>
      <c r="G92" s="25">
        <v>1</v>
      </c>
    </row>
    <row r="93" spans="2:7" ht="19" customHeight="1">
      <c r="B93" s="21" t="s">
        <v>27</v>
      </c>
      <c r="C93" s="33" t="s">
        <v>60</v>
      </c>
      <c r="D93" s="33" t="s">
        <v>22</v>
      </c>
      <c r="E93" s="33" t="s">
        <v>70</v>
      </c>
      <c r="F93" s="33" t="s">
        <v>45</v>
      </c>
      <c r="G93" s="22">
        <v>1</v>
      </c>
    </row>
    <row r="94" spans="2:7" ht="19" customHeight="1">
      <c r="B94" s="24" t="s">
        <v>27</v>
      </c>
      <c r="C94" s="34" t="s">
        <v>60</v>
      </c>
      <c r="D94" s="34" t="s">
        <v>22</v>
      </c>
      <c r="E94" s="34" t="s">
        <v>71</v>
      </c>
      <c r="F94" s="34" t="s">
        <v>45</v>
      </c>
      <c r="G94" s="25">
        <v>1</v>
      </c>
    </row>
    <row r="95" spans="2:7" ht="19" customHeight="1">
      <c r="B95" s="21" t="s">
        <v>27</v>
      </c>
      <c r="C95" s="33" t="s">
        <v>60</v>
      </c>
      <c r="D95" s="33" t="s">
        <v>22</v>
      </c>
      <c r="E95" s="33" t="s">
        <v>72</v>
      </c>
      <c r="F95" s="33" t="s">
        <v>45</v>
      </c>
      <c r="G95" s="22">
        <v>1</v>
      </c>
    </row>
    <row r="96" spans="2:7" ht="19" customHeight="1">
      <c r="B96" s="24" t="s">
        <v>27</v>
      </c>
      <c r="C96" s="34" t="s">
        <v>60</v>
      </c>
      <c r="D96" s="34" t="s">
        <v>22</v>
      </c>
      <c r="E96" s="34" t="s">
        <v>73</v>
      </c>
      <c r="F96" s="34" t="s">
        <v>45</v>
      </c>
      <c r="G96" s="25">
        <v>1</v>
      </c>
    </row>
    <row r="97" spans="2:7" ht="19" customHeight="1">
      <c r="B97" s="21" t="s">
        <v>27</v>
      </c>
      <c r="C97" s="33" t="s">
        <v>60</v>
      </c>
      <c r="D97" s="33" t="s">
        <v>22</v>
      </c>
      <c r="E97" s="33" t="s">
        <v>74</v>
      </c>
      <c r="F97" s="33" t="s">
        <v>45</v>
      </c>
      <c r="G97" s="22">
        <v>1</v>
      </c>
    </row>
    <row r="98" spans="2:7" ht="19" customHeight="1">
      <c r="B98" s="24" t="s">
        <v>27</v>
      </c>
      <c r="C98" s="34" t="s">
        <v>60</v>
      </c>
      <c r="D98" s="34" t="s">
        <v>22</v>
      </c>
      <c r="E98" s="34" t="s">
        <v>75</v>
      </c>
      <c r="F98" s="34" t="s">
        <v>45</v>
      </c>
      <c r="G98" s="25">
        <v>1</v>
      </c>
    </row>
    <row r="99" spans="2:7" ht="19" customHeight="1">
      <c r="B99" s="21" t="s">
        <v>27</v>
      </c>
      <c r="C99" s="33" t="s">
        <v>60</v>
      </c>
      <c r="D99" s="33" t="s">
        <v>22</v>
      </c>
      <c r="E99" s="33" t="s">
        <v>76</v>
      </c>
      <c r="F99" s="33" t="s">
        <v>45</v>
      </c>
      <c r="G99" s="22">
        <v>1</v>
      </c>
    </row>
    <row r="100" spans="2:7" ht="19" customHeight="1">
      <c r="B100" s="24" t="s">
        <v>27</v>
      </c>
      <c r="C100" s="34" t="s">
        <v>60</v>
      </c>
      <c r="D100" s="34" t="s">
        <v>22</v>
      </c>
      <c r="E100" s="34" t="s">
        <v>77</v>
      </c>
      <c r="F100" s="34" t="s">
        <v>45</v>
      </c>
      <c r="G100" s="25">
        <v>1</v>
      </c>
    </row>
    <row r="101" spans="2:7" ht="19" customHeight="1">
      <c r="B101" s="21" t="s">
        <v>28</v>
      </c>
      <c r="C101" s="33" t="s">
        <v>78</v>
      </c>
      <c r="D101" s="33" t="s">
        <v>22</v>
      </c>
      <c r="E101" s="33" t="s">
        <v>44</v>
      </c>
      <c r="F101" s="33" t="s">
        <v>45</v>
      </c>
      <c r="G101" s="22">
        <v>1</v>
      </c>
    </row>
    <row r="102" spans="2:7" ht="19" customHeight="1">
      <c r="B102" s="24" t="s">
        <v>28</v>
      </c>
      <c r="C102" s="34" t="s">
        <v>78</v>
      </c>
      <c r="D102" s="34" t="s">
        <v>22</v>
      </c>
      <c r="E102" s="34" t="s">
        <v>79</v>
      </c>
      <c r="F102" s="34" t="s">
        <v>45</v>
      </c>
      <c r="G102" s="25">
        <v>1</v>
      </c>
    </row>
    <row r="103" spans="2:7" ht="19" customHeight="1">
      <c r="B103" s="21" t="s">
        <v>28</v>
      </c>
      <c r="C103" s="33" t="s">
        <v>78</v>
      </c>
      <c r="D103" s="33" t="s">
        <v>22</v>
      </c>
      <c r="E103" s="33" t="s">
        <v>80</v>
      </c>
      <c r="F103" s="33" t="s">
        <v>45</v>
      </c>
      <c r="G103" s="22">
        <v>1</v>
      </c>
    </row>
    <row r="104" spans="2:7" ht="19" customHeight="1">
      <c r="B104" s="24" t="s">
        <v>28</v>
      </c>
      <c r="C104" s="34" t="s">
        <v>78</v>
      </c>
      <c r="D104" s="34" t="s">
        <v>22</v>
      </c>
      <c r="E104" s="34" t="s">
        <v>81</v>
      </c>
      <c r="F104" s="34" t="s">
        <v>45</v>
      </c>
      <c r="G104" s="25">
        <v>1</v>
      </c>
    </row>
    <row r="105" spans="2:7" ht="19" customHeight="1">
      <c r="B105" s="21" t="s">
        <v>28</v>
      </c>
      <c r="C105" s="33" t="s">
        <v>78</v>
      </c>
      <c r="D105" s="33" t="s">
        <v>22</v>
      </c>
      <c r="E105" s="33" t="s">
        <v>82</v>
      </c>
      <c r="F105" s="33" t="s">
        <v>45</v>
      </c>
      <c r="G105" s="22">
        <v>1</v>
      </c>
    </row>
    <row r="106" spans="2:7" ht="19" customHeight="1">
      <c r="B106" s="24" t="s">
        <v>28</v>
      </c>
      <c r="C106" s="34" t="s">
        <v>28</v>
      </c>
      <c r="D106" s="34" t="s">
        <v>22</v>
      </c>
      <c r="E106" s="34" t="s">
        <v>83</v>
      </c>
      <c r="F106" s="34" t="s">
        <v>45</v>
      </c>
      <c r="G106" s="25">
        <v>1</v>
      </c>
    </row>
    <row r="107" spans="2:7" ht="19" customHeight="1">
      <c r="B107" s="21" t="s">
        <v>28</v>
      </c>
      <c r="C107" s="33" t="s">
        <v>28</v>
      </c>
      <c r="D107" s="33" t="s">
        <v>21</v>
      </c>
      <c r="E107" s="33" t="s">
        <v>84</v>
      </c>
      <c r="F107" s="33" t="s">
        <v>45</v>
      </c>
      <c r="G107" s="22">
        <v>1</v>
      </c>
    </row>
    <row r="108" spans="2:7" ht="22" customHeight="1">
      <c r="B108" s="27" t="s">
        <v>23</v>
      </c>
      <c r="C108" s="35"/>
      <c r="D108" s="35"/>
      <c r="E108" s="35"/>
      <c r="F108" s="35"/>
      <c r="G108" s="28">
        <f>SUM(G9:G107)</f>
        <v>99</v>
      </c>
    </row>
  </sheetData>
  <autoFilter ref="B8:G10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47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85</v>
      </c>
      <c r="C7" s="7"/>
      <c r="D7" s="7"/>
      <c r="E7" s="7"/>
      <c r="F7" s="7"/>
      <c r="G7" s="7"/>
      <c r="H7" s="7"/>
      <c r="I7" s="7"/>
      <c r="J7" s="7"/>
      <c r="K7" s="8" t="s">
        <v>33</v>
      </c>
    </row>
    <row r="8" spans="1:12" ht="36" customHeight="1">
      <c r="B8" s="19" t="s">
        <v>86</v>
      </c>
      <c r="C8" s="32" t="s">
        <v>87</v>
      </c>
      <c r="D8" s="32" t="s">
        <v>25</v>
      </c>
      <c r="E8" s="32" t="s">
        <v>39</v>
      </c>
      <c r="F8" s="36" t="s">
        <v>88</v>
      </c>
      <c r="G8" s="32" t="s">
        <v>40</v>
      </c>
      <c r="H8" s="32" t="s">
        <v>18</v>
      </c>
      <c r="I8" s="32" t="s">
        <v>89</v>
      </c>
      <c r="J8" s="32" t="s">
        <v>90</v>
      </c>
      <c r="K8" s="32" t="s">
        <v>91</v>
      </c>
    </row>
    <row r="9" spans="1:12" ht="49" customHeight="1">
      <c r="B9" s="21" t="s">
        <v>92</v>
      </c>
      <c r="C9" s="37">
        <v>46321</v>
      </c>
      <c r="D9" s="33" t="s">
        <v>93</v>
      </c>
      <c r="E9" s="33" t="s">
        <v>94</v>
      </c>
      <c r="F9" s="38"/>
      <c r="G9" s="33" t="s">
        <v>58</v>
      </c>
      <c r="H9" s="33" t="s">
        <v>95</v>
      </c>
      <c r="I9" s="33" t="s">
        <v>96</v>
      </c>
      <c r="J9" s="33" t="s">
        <v>97</v>
      </c>
      <c r="K9" s="33" t="s">
        <v>98</v>
      </c>
    </row>
    <row r="10" spans="1:12" ht="35" customHeight="1">
      <c r="B10" s="24" t="s">
        <v>99</v>
      </c>
      <c r="C10" s="39">
        <v>46321</v>
      </c>
      <c r="D10" s="34" t="s">
        <v>100</v>
      </c>
      <c r="E10" s="34" t="s">
        <v>101</v>
      </c>
      <c r="F10" s="40"/>
      <c r="G10" s="34" t="s">
        <v>58</v>
      </c>
      <c r="H10" s="34" t="s">
        <v>95</v>
      </c>
      <c r="I10" s="34" t="s">
        <v>102</v>
      </c>
      <c r="J10" s="34" t="s">
        <v>97</v>
      </c>
      <c r="K10" s="34" t="s">
        <v>98</v>
      </c>
    </row>
    <row r="11" spans="1:12" ht="35" customHeight="1">
      <c r="B11" s="21" t="s">
        <v>103</v>
      </c>
      <c r="C11" s="37">
        <v>46321</v>
      </c>
      <c r="D11" s="33" t="s">
        <v>100</v>
      </c>
      <c r="E11" s="33" t="s">
        <v>104</v>
      </c>
      <c r="F11" s="38"/>
      <c r="G11" s="33" t="s">
        <v>58</v>
      </c>
      <c r="H11" s="33" t="s">
        <v>95</v>
      </c>
      <c r="I11" s="33" t="s">
        <v>105</v>
      </c>
      <c r="J11" s="33" t="s">
        <v>97</v>
      </c>
      <c r="K11" s="33" t="s">
        <v>98</v>
      </c>
    </row>
    <row r="12" spans="1:12" ht="35" customHeight="1">
      <c r="B12" s="24" t="s">
        <v>106</v>
      </c>
      <c r="C12" s="39">
        <v>46321</v>
      </c>
      <c r="D12" s="34" t="s">
        <v>27</v>
      </c>
      <c r="E12" s="34" t="s">
        <v>107</v>
      </c>
      <c r="F12" s="40"/>
      <c r="G12" s="34" t="s">
        <v>58</v>
      </c>
      <c r="H12" s="34" t="s">
        <v>95</v>
      </c>
      <c r="I12" s="34" t="s">
        <v>108</v>
      </c>
      <c r="J12" s="34" t="s">
        <v>97</v>
      </c>
      <c r="K12" s="34" t="s">
        <v>98</v>
      </c>
    </row>
    <row r="13" spans="1:12" ht="35" customHeight="1">
      <c r="B13" s="21" t="s">
        <v>109</v>
      </c>
      <c r="C13" s="37">
        <v>46321</v>
      </c>
      <c r="D13" s="33" t="s">
        <v>110</v>
      </c>
      <c r="E13" s="33" t="s">
        <v>111</v>
      </c>
      <c r="F13" s="38"/>
      <c r="G13" s="33" t="s">
        <v>58</v>
      </c>
      <c r="H13" s="33" t="s">
        <v>95</v>
      </c>
      <c r="I13" s="33" t="s">
        <v>112</v>
      </c>
      <c r="J13" s="33" t="s">
        <v>97</v>
      </c>
      <c r="K13" s="33" t="s">
        <v>98</v>
      </c>
    </row>
    <row r="14" spans="1:12" ht="35" customHeight="1">
      <c r="B14" s="24" t="s">
        <v>113</v>
      </c>
      <c r="C14" s="39">
        <v>46321</v>
      </c>
      <c r="D14" s="34" t="s">
        <v>26</v>
      </c>
      <c r="E14" s="34" t="s">
        <v>114</v>
      </c>
      <c r="F14" s="40"/>
      <c r="G14" s="34" t="s">
        <v>58</v>
      </c>
      <c r="H14" s="34" t="s">
        <v>95</v>
      </c>
      <c r="I14" s="34" t="s">
        <v>115</v>
      </c>
      <c r="J14" s="34" t="s">
        <v>97</v>
      </c>
      <c r="K14" s="34" t="s">
        <v>98</v>
      </c>
    </row>
    <row r="15" spans="1:12" ht="35" customHeight="1">
      <c r="B15" s="21" t="s">
        <v>116</v>
      </c>
      <c r="C15" s="37">
        <v>46321</v>
      </c>
      <c r="D15" s="33" t="s">
        <v>26</v>
      </c>
      <c r="E15" s="33" t="s">
        <v>43</v>
      </c>
      <c r="F15" s="38"/>
      <c r="G15" s="33" t="s">
        <v>58</v>
      </c>
      <c r="H15" s="33" t="s">
        <v>117</v>
      </c>
      <c r="I15" s="33" t="s">
        <v>118</v>
      </c>
      <c r="J15" s="33" t="s">
        <v>97</v>
      </c>
      <c r="K15" s="33" t="s">
        <v>98</v>
      </c>
    </row>
    <row r="16" spans="1:12" ht="35" customHeight="1">
      <c r="B16" s="24" t="s">
        <v>119</v>
      </c>
      <c r="C16" s="39">
        <v>46321</v>
      </c>
      <c r="D16" s="34" t="s">
        <v>26</v>
      </c>
      <c r="E16" s="34" t="s">
        <v>54</v>
      </c>
      <c r="F16" s="40"/>
      <c r="G16" s="34" t="s">
        <v>58</v>
      </c>
      <c r="H16" s="34" t="s">
        <v>117</v>
      </c>
      <c r="I16" s="34" t="s">
        <v>120</v>
      </c>
      <c r="J16" s="34" t="s">
        <v>97</v>
      </c>
      <c r="K16" s="34" t="s">
        <v>98</v>
      </c>
    </row>
    <row r="17" spans="2:11" ht="35" customHeight="1">
      <c r="B17" s="21" t="s">
        <v>121</v>
      </c>
      <c r="C17" s="37">
        <v>46321</v>
      </c>
      <c r="D17" s="33" t="s">
        <v>26</v>
      </c>
      <c r="E17" s="33" t="s">
        <v>122</v>
      </c>
      <c r="F17" s="38"/>
      <c r="G17" s="33" t="s">
        <v>58</v>
      </c>
      <c r="H17" s="33" t="s">
        <v>117</v>
      </c>
      <c r="I17" s="33" t="s">
        <v>120</v>
      </c>
      <c r="J17" s="33" t="s">
        <v>97</v>
      </c>
      <c r="K17" s="33" t="s">
        <v>98</v>
      </c>
    </row>
    <row r="18" spans="2:11" ht="35" customHeight="1">
      <c r="B18" s="24" t="s">
        <v>123</v>
      </c>
      <c r="C18" s="39">
        <v>46321</v>
      </c>
      <c r="D18" s="34" t="s">
        <v>27</v>
      </c>
      <c r="E18" s="34" t="s">
        <v>124</v>
      </c>
      <c r="F18" s="40"/>
      <c r="G18" s="34" t="s">
        <v>125</v>
      </c>
      <c r="H18" s="34" t="s">
        <v>126</v>
      </c>
      <c r="I18" s="34" t="s">
        <v>127</v>
      </c>
      <c r="J18" s="34" t="s">
        <v>97</v>
      </c>
      <c r="K18" s="34" t="s">
        <v>98</v>
      </c>
    </row>
    <row r="19" spans="2:11" ht="35" customHeight="1">
      <c r="B19" s="21" t="s">
        <v>128</v>
      </c>
      <c r="C19" s="37">
        <v>46321</v>
      </c>
      <c r="D19" s="33" t="s">
        <v>27</v>
      </c>
      <c r="E19" s="33" t="s">
        <v>124</v>
      </c>
      <c r="F19" s="38"/>
      <c r="G19" s="33" t="s">
        <v>129</v>
      </c>
      <c r="H19" s="33" t="s">
        <v>126</v>
      </c>
      <c r="I19" s="33" t="s">
        <v>130</v>
      </c>
      <c r="J19" s="33" t="s">
        <v>97</v>
      </c>
      <c r="K19" s="33" t="s">
        <v>98</v>
      </c>
    </row>
    <row r="20" spans="2:11" ht="35" customHeight="1">
      <c r="B20" s="24" t="s">
        <v>131</v>
      </c>
      <c r="C20" s="39">
        <v>46321</v>
      </c>
      <c r="D20" s="34" t="s">
        <v>27</v>
      </c>
      <c r="E20" s="34" t="s">
        <v>124</v>
      </c>
      <c r="F20" s="40"/>
      <c r="G20" s="34" t="s">
        <v>132</v>
      </c>
      <c r="H20" s="34" t="s">
        <v>126</v>
      </c>
      <c r="I20" s="34" t="s">
        <v>133</v>
      </c>
      <c r="J20" s="34" t="s">
        <v>97</v>
      </c>
      <c r="K20" s="34" t="s">
        <v>98</v>
      </c>
    </row>
    <row r="21" spans="2:11" ht="35" customHeight="1">
      <c r="B21" s="21" t="s">
        <v>134</v>
      </c>
      <c r="C21" s="37">
        <v>46321</v>
      </c>
      <c r="D21" s="33" t="s">
        <v>27</v>
      </c>
      <c r="E21" s="33" t="s">
        <v>124</v>
      </c>
      <c r="F21" s="38"/>
      <c r="G21" s="33" t="s">
        <v>135</v>
      </c>
      <c r="H21" s="33" t="s">
        <v>126</v>
      </c>
      <c r="I21" s="33" t="s">
        <v>127</v>
      </c>
      <c r="J21" s="33" t="s">
        <v>97</v>
      </c>
      <c r="K21" s="33" t="s">
        <v>98</v>
      </c>
    </row>
    <row r="22" spans="2:11" ht="35" customHeight="1">
      <c r="B22" s="24" t="s">
        <v>136</v>
      </c>
      <c r="C22" s="39">
        <v>46321</v>
      </c>
      <c r="D22" s="34" t="s">
        <v>27</v>
      </c>
      <c r="E22" s="34" t="s">
        <v>124</v>
      </c>
      <c r="F22" s="40"/>
      <c r="G22" s="34" t="s">
        <v>137</v>
      </c>
      <c r="H22" s="34" t="s">
        <v>126</v>
      </c>
      <c r="I22" s="34" t="s">
        <v>127</v>
      </c>
      <c r="J22" s="34" t="s">
        <v>97</v>
      </c>
      <c r="K22" s="34" t="s">
        <v>98</v>
      </c>
    </row>
    <row r="23" spans="2:11" ht="35" customHeight="1">
      <c r="B23" s="21" t="s">
        <v>138</v>
      </c>
      <c r="C23" s="37">
        <v>46321</v>
      </c>
      <c r="D23" s="33" t="s">
        <v>100</v>
      </c>
      <c r="E23" s="33" t="s">
        <v>139</v>
      </c>
      <c r="F23" s="38"/>
      <c r="G23" s="33" t="s">
        <v>140</v>
      </c>
      <c r="H23" s="33" t="s">
        <v>126</v>
      </c>
      <c r="I23" s="33" t="s">
        <v>141</v>
      </c>
      <c r="J23" s="33" t="s">
        <v>142</v>
      </c>
      <c r="K23" s="33" t="s">
        <v>98</v>
      </c>
    </row>
    <row r="24" spans="2:11" ht="35" customHeight="1">
      <c r="B24" s="24" t="s">
        <v>143</v>
      </c>
      <c r="C24" s="39">
        <v>46321</v>
      </c>
      <c r="D24" s="34" t="s">
        <v>100</v>
      </c>
      <c r="E24" s="34" t="s">
        <v>139</v>
      </c>
      <c r="F24" s="40"/>
      <c r="G24" s="34" t="s">
        <v>144</v>
      </c>
      <c r="H24" s="34" t="s">
        <v>126</v>
      </c>
      <c r="I24" s="34" t="s">
        <v>141</v>
      </c>
      <c r="J24" s="34" t="s">
        <v>142</v>
      </c>
      <c r="K24" s="34" t="s">
        <v>98</v>
      </c>
    </row>
    <row r="25" spans="2:11" ht="35" customHeight="1">
      <c r="B25" s="21" t="s">
        <v>145</v>
      </c>
      <c r="C25" s="37">
        <v>46321</v>
      </c>
      <c r="D25" s="33" t="s">
        <v>28</v>
      </c>
      <c r="E25" s="33" t="s">
        <v>78</v>
      </c>
      <c r="F25" s="38"/>
      <c r="G25" s="33" t="s">
        <v>81</v>
      </c>
      <c r="H25" s="33" t="s">
        <v>126</v>
      </c>
      <c r="I25" s="33" t="s">
        <v>146</v>
      </c>
      <c r="J25" s="33" t="s">
        <v>142</v>
      </c>
      <c r="K25" s="33" t="s">
        <v>98</v>
      </c>
    </row>
    <row r="26" spans="2:11" ht="35" customHeight="1">
      <c r="B26" s="24" t="s">
        <v>147</v>
      </c>
      <c r="C26" s="39">
        <v>46321</v>
      </c>
      <c r="D26" s="34" t="s">
        <v>28</v>
      </c>
      <c r="E26" s="34" t="s">
        <v>78</v>
      </c>
      <c r="F26" s="40"/>
      <c r="G26" s="34" t="s">
        <v>80</v>
      </c>
      <c r="H26" s="34" t="s">
        <v>126</v>
      </c>
      <c r="I26" s="34" t="s">
        <v>146</v>
      </c>
      <c r="J26" s="34" t="s">
        <v>142</v>
      </c>
      <c r="K26" s="34" t="s">
        <v>98</v>
      </c>
    </row>
    <row r="27" spans="2:11" ht="35" customHeight="1">
      <c r="B27" s="21" t="s">
        <v>148</v>
      </c>
      <c r="C27" s="37">
        <v>46321</v>
      </c>
      <c r="D27" s="33" t="s">
        <v>28</v>
      </c>
      <c r="E27" s="33" t="s">
        <v>78</v>
      </c>
      <c r="F27" s="38"/>
      <c r="G27" s="33" t="s">
        <v>44</v>
      </c>
      <c r="H27" s="33" t="s">
        <v>126</v>
      </c>
      <c r="I27" s="33" t="s">
        <v>146</v>
      </c>
      <c r="J27" s="33" t="s">
        <v>142</v>
      </c>
      <c r="K27" s="33" t="s">
        <v>98</v>
      </c>
    </row>
    <row r="28" spans="2:11" ht="35" customHeight="1">
      <c r="B28" s="24" t="s">
        <v>149</v>
      </c>
      <c r="C28" s="39">
        <v>46321</v>
      </c>
      <c r="D28" s="34" t="s">
        <v>28</v>
      </c>
      <c r="E28" s="34" t="s">
        <v>78</v>
      </c>
      <c r="F28" s="40"/>
      <c r="G28" s="34" t="s">
        <v>79</v>
      </c>
      <c r="H28" s="34" t="s">
        <v>126</v>
      </c>
      <c r="I28" s="34" t="s">
        <v>146</v>
      </c>
      <c r="J28" s="34" t="s">
        <v>142</v>
      </c>
      <c r="K28" s="34" t="s">
        <v>98</v>
      </c>
    </row>
    <row r="29" spans="2:11" ht="35" customHeight="1">
      <c r="B29" s="21" t="s">
        <v>150</v>
      </c>
      <c r="C29" s="37">
        <v>46321</v>
      </c>
      <c r="D29" s="33" t="s">
        <v>28</v>
      </c>
      <c r="E29" s="33" t="s">
        <v>78</v>
      </c>
      <c r="F29" s="38"/>
      <c r="G29" s="33" t="s">
        <v>151</v>
      </c>
      <c r="H29" s="33" t="s">
        <v>126</v>
      </c>
      <c r="I29" s="33" t="s">
        <v>146</v>
      </c>
      <c r="J29" s="33" t="s">
        <v>142</v>
      </c>
      <c r="K29" s="33" t="s">
        <v>98</v>
      </c>
    </row>
    <row r="30" spans="2:11" ht="35" customHeight="1">
      <c r="B30" s="24" t="s">
        <v>152</v>
      </c>
      <c r="C30" s="39">
        <v>46321</v>
      </c>
      <c r="D30" s="34" t="s">
        <v>28</v>
      </c>
      <c r="E30" s="34" t="s">
        <v>28</v>
      </c>
      <c r="F30" s="40"/>
      <c r="G30" s="34" t="s">
        <v>84</v>
      </c>
      <c r="H30" s="34" t="s">
        <v>153</v>
      </c>
      <c r="I30" s="34" t="s">
        <v>146</v>
      </c>
      <c r="J30" s="34" t="s">
        <v>142</v>
      </c>
      <c r="K30" s="34" t="s">
        <v>98</v>
      </c>
    </row>
    <row r="31" spans="2:11" ht="35" customHeight="1">
      <c r="B31" s="21" t="s">
        <v>154</v>
      </c>
      <c r="C31" s="37">
        <v>46321</v>
      </c>
      <c r="D31" s="33" t="s">
        <v>28</v>
      </c>
      <c r="E31" s="33" t="s">
        <v>28</v>
      </c>
      <c r="F31" s="38"/>
      <c r="G31" s="33" t="s">
        <v>83</v>
      </c>
      <c r="H31" s="33" t="s">
        <v>126</v>
      </c>
      <c r="I31" s="33" t="s">
        <v>146</v>
      </c>
      <c r="J31" s="33" t="s">
        <v>142</v>
      </c>
      <c r="K31" s="33" t="s">
        <v>98</v>
      </c>
    </row>
    <row r="32" spans="2:11" ht="35" customHeight="1">
      <c r="B32" s="24" t="s">
        <v>155</v>
      </c>
      <c r="C32" s="39">
        <v>46321</v>
      </c>
      <c r="D32" s="34" t="s">
        <v>27</v>
      </c>
      <c r="E32" s="34" t="s">
        <v>156</v>
      </c>
      <c r="F32" s="40"/>
      <c r="G32" s="34" t="s">
        <v>157</v>
      </c>
      <c r="H32" s="34" t="s">
        <v>153</v>
      </c>
      <c r="I32" s="34" t="s">
        <v>158</v>
      </c>
      <c r="J32" s="34" t="s">
        <v>97</v>
      </c>
      <c r="K32" s="34" t="s">
        <v>98</v>
      </c>
    </row>
    <row r="33" spans="2:11" ht="35" customHeight="1">
      <c r="B33" s="21" t="s">
        <v>159</v>
      </c>
      <c r="C33" s="37">
        <v>46321</v>
      </c>
      <c r="D33" s="33" t="s">
        <v>27</v>
      </c>
      <c r="E33" s="33" t="s">
        <v>156</v>
      </c>
      <c r="F33" s="38"/>
      <c r="G33" s="33" t="s">
        <v>160</v>
      </c>
      <c r="H33" s="33" t="s">
        <v>153</v>
      </c>
      <c r="I33" s="33" t="s">
        <v>158</v>
      </c>
      <c r="J33" s="33" t="s">
        <v>97</v>
      </c>
      <c r="K33" s="33" t="s">
        <v>98</v>
      </c>
    </row>
    <row r="34" spans="2:11" ht="35" customHeight="1">
      <c r="B34" s="24" t="s">
        <v>161</v>
      </c>
      <c r="C34" s="39">
        <v>46321</v>
      </c>
      <c r="D34" s="34" t="s">
        <v>27</v>
      </c>
      <c r="E34" s="34" t="s">
        <v>156</v>
      </c>
      <c r="F34" s="40"/>
      <c r="G34" s="34" t="s">
        <v>162</v>
      </c>
      <c r="H34" s="34" t="s">
        <v>153</v>
      </c>
      <c r="I34" s="34" t="s">
        <v>158</v>
      </c>
      <c r="J34" s="34" t="s">
        <v>97</v>
      </c>
      <c r="K34" s="34" t="s">
        <v>98</v>
      </c>
    </row>
    <row r="35" spans="2:11" ht="35" customHeight="1">
      <c r="B35" s="21" t="s">
        <v>163</v>
      </c>
      <c r="C35" s="37">
        <v>46320</v>
      </c>
      <c r="D35" s="33" t="s">
        <v>164</v>
      </c>
      <c r="E35" s="33" t="s">
        <v>165</v>
      </c>
      <c r="F35" s="38"/>
      <c r="G35" s="33" t="s">
        <v>166</v>
      </c>
      <c r="H35" s="33" t="s">
        <v>117</v>
      </c>
      <c r="I35" s="33" t="s">
        <v>167</v>
      </c>
      <c r="J35" s="33" t="s">
        <v>97</v>
      </c>
      <c r="K35" s="33" t="s">
        <v>98</v>
      </c>
    </row>
    <row r="36" spans="2:11" ht="35" customHeight="1">
      <c r="B36" s="24" t="s">
        <v>168</v>
      </c>
      <c r="C36" s="39">
        <v>46320</v>
      </c>
      <c r="D36" s="34" t="s">
        <v>164</v>
      </c>
      <c r="E36" s="34" t="s">
        <v>165</v>
      </c>
      <c r="F36" s="40"/>
      <c r="G36" s="34" t="s">
        <v>169</v>
      </c>
      <c r="H36" s="34" t="s">
        <v>117</v>
      </c>
      <c r="I36" s="34" t="s">
        <v>170</v>
      </c>
      <c r="J36" s="34" t="s">
        <v>97</v>
      </c>
      <c r="K36" s="34" t="s">
        <v>98</v>
      </c>
    </row>
    <row r="37" spans="2:11" ht="21" customHeight="1">
      <c r="B37" s="21" t="s">
        <v>171</v>
      </c>
      <c r="C37" s="37">
        <v>46315</v>
      </c>
      <c r="D37" s="33" t="s">
        <v>27</v>
      </c>
      <c r="E37" s="33" t="s">
        <v>107</v>
      </c>
      <c r="F37" s="38" t="s">
        <v>172</v>
      </c>
      <c r="G37" s="33" t="s">
        <v>173</v>
      </c>
      <c r="H37" s="33" t="s">
        <v>126</v>
      </c>
      <c r="I37" s="33" t="s">
        <v>174</v>
      </c>
      <c r="J37" s="33" t="s">
        <v>175</v>
      </c>
      <c r="K37" s="33" t="s">
        <v>176</v>
      </c>
    </row>
    <row r="38" spans="2:11" ht="21" customHeight="1">
      <c r="B38" s="24" t="s">
        <v>177</v>
      </c>
      <c r="C38" s="39">
        <v>46315</v>
      </c>
      <c r="D38" s="34" t="s">
        <v>27</v>
      </c>
      <c r="E38" s="34" t="s">
        <v>107</v>
      </c>
      <c r="F38" s="40" t="s">
        <v>178</v>
      </c>
      <c r="G38" s="34" t="s">
        <v>81</v>
      </c>
      <c r="H38" s="34" t="s">
        <v>126</v>
      </c>
      <c r="I38" s="34" t="s">
        <v>179</v>
      </c>
      <c r="J38" s="34" t="s">
        <v>175</v>
      </c>
      <c r="K38" s="34" t="s">
        <v>176</v>
      </c>
    </row>
    <row r="39" spans="2:11" ht="21" customHeight="1">
      <c r="B39" s="21" t="s">
        <v>180</v>
      </c>
      <c r="C39" s="37">
        <v>46315</v>
      </c>
      <c r="D39" s="33" t="s">
        <v>27</v>
      </c>
      <c r="E39" s="33" t="s">
        <v>107</v>
      </c>
      <c r="F39" s="38" t="s">
        <v>181</v>
      </c>
      <c r="G39" s="33" t="s">
        <v>182</v>
      </c>
      <c r="H39" s="33" t="s">
        <v>126</v>
      </c>
      <c r="I39" s="33" t="s">
        <v>183</v>
      </c>
      <c r="J39" s="33" t="s">
        <v>175</v>
      </c>
      <c r="K39" s="33" t="s">
        <v>176</v>
      </c>
    </row>
    <row r="40" spans="2:11" ht="21" customHeight="1">
      <c r="B40" s="24" t="s">
        <v>184</v>
      </c>
      <c r="C40" s="39">
        <v>46315</v>
      </c>
      <c r="D40" s="34" t="s">
        <v>27</v>
      </c>
      <c r="E40" s="34" t="s">
        <v>107</v>
      </c>
      <c r="F40" s="40" t="s">
        <v>185</v>
      </c>
      <c r="G40" s="34" t="s">
        <v>186</v>
      </c>
      <c r="H40" s="34" t="s">
        <v>126</v>
      </c>
      <c r="I40" s="34" t="s">
        <v>187</v>
      </c>
      <c r="J40" s="34" t="s">
        <v>175</v>
      </c>
      <c r="K40" s="34" t="s">
        <v>176</v>
      </c>
    </row>
    <row r="41" spans="2:11" ht="35" customHeight="1">
      <c r="B41" s="21" t="s">
        <v>188</v>
      </c>
      <c r="C41" s="37">
        <v>46315</v>
      </c>
      <c r="D41" s="33" t="s">
        <v>26</v>
      </c>
      <c r="E41" s="33" t="s">
        <v>43</v>
      </c>
      <c r="F41" s="38" t="s">
        <v>189</v>
      </c>
      <c r="G41" s="33" t="s">
        <v>190</v>
      </c>
      <c r="H41" s="33" t="s">
        <v>126</v>
      </c>
      <c r="I41" s="33" t="s">
        <v>191</v>
      </c>
      <c r="J41" s="33" t="s">
        <v>97</v>
      </c>
      <c r="K41" s="33" t="s">
        <v>176</v>
      </c>
    </row>
    <row r="42" spans="2:11" ht="35" customHeight="1">
      <c r="B42" s="24" t="s">
        <v>192</v>
      </c>
      <c r="C42" s="39">
        <v>46315</v>
      </c>
      <c r="D42" s="34" t="s">
        <v>26</v>
      </c>
      <c r="E42" s="34" t="s">
        <v>43</v>
      </c>
      <c r="F42" s="40" t="s">
        <v>193</v>
      </c>
      <c r="G42" s="34" t="s">
        <v>194</v>
      </c>
      <c r="H42" s="34" t="s">
        <v>126</v>
      </c>
      <c r="I42" s="34" t="s">
        <v>191</v>
      </c>
      <c r="J42" s="34" t="s">
        <v>97</v>
      </c>
      <c r="K42" s="34" t="s">
        <v>176</v>
      </c>
    </row>
    <row r="43" spans="2:11" ht="35" customHeight="1">
      <c r="B43" s="21" t="s">
        <v>195</v>
      </c>
      <c r="C43" s="37">
        <v>46314</v>
      </c>
      <c r="D43" s="33" t="s">
        <v>27</v>
      </c>
      <c r="E43" s="33" t="s">
        <v>60</v>
      </c>
      <c r="F43" s="38" t="s">
        <v>196</v>
      </c>
      <c r="G43" s="33" t="s">
        <v>197</v>
      </c>
      <c r="H43" s="33" t="s">
        <v>126</v>
      </c>
      <c r="I43" s="33" t="s">
        <v>198</v>
      </c>
      <c r="J43" s="33" t="s">
        <v>175</v>
      </c>
      <c r="K43" s="33" t="s">
        <v>176</v>
      </c>
    </row>
    <row r="44" spans="2:11" ht="35" customHeight="1">
      <c r="B44" s="24" t="s">
        <v>199</v>
      </c>
      <c r="C44" s="39">
        <v>46314</v>
      </c>
      <c r="D44" s="34" t="s">
        <v>27</v>
      </c>
      <c r="E44" s="34" t="s">
        <v>60</v>
      </c>
      <c r="F44" s="40" t="s">
        <v>200</v>
      </c>
      <c r="G44" s="34" t="s">
        <v>201</v>
      </c>
      <c r="H44" s="34" t="s">
        <v>126</v>
      </c>
      <c r="I44" s="34" t="s">
        <v>198</v>
      </c>
      <c r="J44" s="34" t="s">
        <v>175</v>
      </c>
      <c r="K44" s="34" t="s">
        <v>176</v>
      </c>
    </row>
    <row r="45" spans="2:11" ht="35" customHeight="1">
      <c r="B45" s="21" t="s">
        <v>202</v>
      </c>
      <c r="C45" s="37">
        <v>46311</v>
      </c>
      <c r="D45" s="33" t="s">
        <v>100</v>
      </c>
      <c r="E45" s="33" t="s">
        <v>203</v>
      </c>
      <c r="F45" s="38" t="s">
        <v>204</v>
      </c>
      <c r="G45" s="33" t="s">
        <v>205</v>
      </c>
      <c r="H45" s="33" t="s">
        <v>153</v>
      </c>
      <c r="I45" s="33" t="s">
        <v>206</v>
      </c>
      <c r="J45" s="33" t="s">
        <v>175</v>
      </c>
      <c r="K45" s="33" t="s">
        <v>176</v>
      </c>
    </row>
    <row r="46" spans="2:11" ht="35" customHeight="1">
      <c r="B46" s="24" t="s">
        <v>207</v>
      </c>
      <c r="C46" s="39">
        <v>46311</v>
      </c>
      <c r="D46" s="34" t="s">
        <v>100</v>
      </c>
      <c r="E46" s="34" t="s">
        <v>203</v>
      </c>
      <c r="F46" s="40" t="s">
        <v>208</v>
      </c>
      <c r="G46" s="34" t="s">
        <v>209</v>
      </c>
      <c r="H46" s="34" t="s">
        <v>153</v>
      </c>
      <c r="I46" s="34" t="s">
        <v>206</v>
      </c>
      <c r="J46" s="34" t="s">
        <v>175</v>
      </c>
      <c r="K46" s="34" t="s">
        <v>176</v>
      </c>
    </row>
    <row r="47" spans="2:11" ht="35" customHeight="1">
      <c r="B47" s="21" t="s">
        <v>210</v>
      </c>
      <c r="C47" s="37">
        <v>46300</v>
      </c>
      <c r="D47" s="33" t="s">
        <v>164</v>
      </c>
      <c r="E47" s="33" t="s">
        <v>165</v>
      </c>
      <c r="F47" s="38"/>
      <c r="G47" s="33" t="s">
        <v>211</v>
      </c>
      <c r="H47" s="33" t="s">
        <v>126</v>
      </c>
      <c r="I47" s="33" t="s">
        <v>212</v>
      </c>
      <c r="J47" s="33" t="s">
        <v>97</v>
      </c>
      <c r="K47" s="33" t="s">
        <v>98</v>
      </c>
    </row>
  </sheetData>
  <autoFilter ref="B8:K4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39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213</v>
      </c>
      <c r="C7" s="7"/>
      <c r="D7" s="7"/>
    </row>
    <row r="8" spans="1:15" ht="36" customHeight="1">
      <c r="B8" s="19" t="s">
        <v>214</v>
      </c>
      <c r="C8" s="20" t="s">
        <v>215</v>
      </c>
      <c r="D8" s="20" t="s">
        <v>216</v>
      </c>
    </row>
    <row r="9" spans="1:15" ht="19" customHeight="1">
      <c r="B9" s="41">
        <v>46293</v>
      </c>
      <c r="C9" s="22">
        <v>0</v>
      </c>
      <c r="D9" s="22">
        <v>0</v>
      </c>
    </row>
    <row r="10" spans="1:15" ht="19" customHeight="1">
      <c r="B10" s="42">
        <v>46294</v>
      </c>
      <c r="C10" s="25">
        <v>0</v>
      </c>
      <c r="D10" s="25">
        <v>0</v>
      </c>
    </row>
    <row r="11" spans="1:15" ht="19" customHeight="1">
      <c r="B11" s="41">
        <v>46295</v>
      </c>
      <c r="C11" s="22">
        <v>0</v>
      </c>
      <c r="D11" s="22">
        <v>0</v>
      </c>
    </row>
    <row r="12" spans="1:15" ht="19" customHeight="1">
      <c r="B12" s="42">
        <v>46296</v>
      </c>
      <c r="C12" s="25">
        <v>0</v>
      </c>
      <c r="D12" s="25">
        <v>0</v>
      </c>
    </row>
    <row r="13" spans="1:15" ht="19" customHeight="1">
      <c r="B13" s="41">
        <v>46297</v>
      </c>
      <c r="C13" s="22">
        <v>0</v>
      </c>
      <c r="D13" s="22">
        <v>0</v>
      </c>
    </row>
    <row r="14" spans="1:15" ht="19" customHeight="1">
      <c r="B14" s="42">
        <v>46298</v>
      </c>
      <c r="C14" s="25">
        <v>0</v>
      </c>
      <c r="D14" s="25">
        <v>0</v>
      </c>
    </row>
    <row r="15" spans="1:15" ht="19" customHeight="1">
      <c r="B15" s="41">
        <v>46299</v>
      </c>
      <c r="C15" s="22">
        <v>0</v>
      </c>
      <c r="D15" s="22">
        <v>0</v>
      </c>
    </row>
    <row r="16" spans="1:15" ht="19" customHeight="1">
      <c r="B16" s="42">
        <v>46300</v>
      </c>
      <c r="C16" s="25">
        <v>1</v>
      </c>
      <c r="D16" s="25">
        <v>1</v>
      </c>
    </row>
    <row r="17" spans="2:4" ht="19" customHeight="1">
      <c r="B17" s="41">
        <v>46301</v>
      </c>
      <c r="C17" s="22">
        <v>0</v>
      </c>
      <c r="D17" s="22">
        <v>1</v>
      </c>
    </row>
    <row r="18" spans="2:4" ht="19" customHeight="1">
      <c r="B18" s="42">
        <v>46302</v>
      </c>
      <c r="C18" s="25">
        <v>0</v>
      </c>
      <c r="D18" s="25">
        <v>1</v>
      </c>
    </row>
    <row r="19" spans="2:4" ht="19" customHeight="1">
      <c r="B19" s="41">
        <v>46303</v>
      </c>
      <c r="C19" s="22">
        <v>0</v>
      </c>
      <c r="D19" s="22">
        <v>1</v>
      </c>
    </row>
    <row r="20" spans="2:4" ht="19" customHeight="1">
      <c r="B20" s="42">
        <v>46304</v>
      </c>
      <c r="C20" s="25">
        <v>0</v>
      </c>
      <c r="D20" s="25">
        <v>1</v>
      </c>
    </row>
    <row r="21" spans="2:4" ht="19" customHeight="1">
      <c r="B21" s="41">
        <v>46305</v>
      </c>
      <c r="C21" s="22">
        <v>0</v>
      </c>
      <c r="D21" s="22">
        <v>1</v>
      </c>
    </row>
    <row r="22" spans="2:4" ht="19" customHeight="1">
      <c r="B22" s="42">
        <v>46306</v>
      </c>
      <c r="C22" s="25">
        <v>0</v>
      </c>
      <c r="D22" s="25">
        <v>1</v>
      </c>
    </row>
    <row r="23" spans="2:4" ht="19" customHeight="1">
      <c r="B23" s="41">
        <v>46307</v>
      </c>
      <c r="C23" s="22">
        <v>0</v>
      </c>
      <c r="D23" s="22">
        <v>1</v>
      </c>
    </row>
    <row r="24" spans="2:4" ht="19" customHeight="1">
      <c r="B24" s="42">
        <v>46308</v>
      </c>
      <c r="C24" s="25">
        <v>0</v>
      </c>
      <c r="D24" s="25">
        <v>1</v>
      </c>
    </row>
    <row r="25" spans="2:4" ht="19" customHeight="1">
      <c r="B25" s="41">
        <v>46309</v>
      </c>
      <c r="C25" s="22">
        <v>0</v>
      </c>
      <c r="D25" s="22">
        <v>1</v>
      </c>
    </row>
    <row r="26" spans="2:4" ht="19" customHeight="1">
      <c r="B26" s="42">
        <v>46310</v>
      </c>
      <c r="C26" s="25">
        <v>0</v>
      </c>
      <c r="D26" s="25">
        <v>1</v>
      </c>
    </row>
    <row r="27" spans="2:4" ht="19" customHeight="1">
      <c r="B27" s="41">
        <v>46311</v>
      </c>
      <c r="C27" s="22">
        <v>2</v>
      </c>
      <c r="D27" s="22">
        <v>3</v>
      </c>
    </row>
    <row r="28" spans="2:4" ht="19" customHeight="1">
      <c r="B28" s="42">
        <v>46312</v>
      </c>
      <c r="C28" s="25">
        <v>0</v>
      </c>
      <c r="D28" s="25">
        <v>3</v>
      </c>
    </row>
    <row r="29" spans="2:4" ht="19" customHeight="1">
      <c r="B29" s="41">
        <v>46313</v>
      </c>
      <c r="C29" s="22">
        <v>0</v>
      </c>
      <c r="D29" s="22">
        <v>3</v>
      </c>
    </row>
    <row r="30" spans="2:4" ht="19" customHeight="1">
      <c r="B30" s="42">
        <v>46314</v>
      </c>
      <c r="C30" s="25">
        <v>2</v>
      </c>
      <c r="D30" s="25">
        <v>5</v>
      </c>
    </row>
    <row r="31" spans="2:4" ht="19" customHeight="1">
      <c r="B31" s="41">
        <v>46315</v>
      </c>
      <c r="C31" s="22">
        <v>6</v>
      </c>
      <c r="D31" s="22">
        <v>11</v>
      </c>
    </row>
    <row r="32" spans="2:4" ht="19" customHeight="1">
      <c r="B32" s="42">
        <v>46316</v>
      </c>
      <c r="C32" s="25">
        <v>0</v>
      </c>
      <c r="D32" s="25">
        <v>11</v>
      </c>
    </row>
    <row r="33" spans="2:4" ht="19" customHeight="1">
      <c r="B33" s="41">
        <v>46317</v>
      </c>
      <c r="C33" s="22">
        <v>0</v>
      </c>
      <c r="D33" s="22">
        <v>11</v>
      </c>
    </row>
    <row r="34" spans="2:4" ht="19" customHeight="1">
      <c r="B34" s="42">
        <v>46318</v>
      </c>
      <c r="C34" s="25">
        <v>0</v>
      </c>
      <c r="D34" s="25">
        <v>11</v>
      </c>
    </row>
    <row r="35" spans="2:4" ht="19" customHeight="1">
      <c r="B35" s="41">
        <v>46319</v>
      </c>
      <c r="C35" s="22">
        <v>0</v>
      </c>
      <c r="D35" s="22">
        <v>11</v>
      </c>
    </row>
    <row r="36" spans="2:4" ht="19" customHeight="1">
      <c r="B36" s="42">
        <v>46320</v>
      </c>
      <c r="C36" s="25">
        <v>2</v>
      </c>
      <c r="D36" s="25">
        <v>13</v>
      </c>
    </row>
    <row r="37" spans="2:4" ht="19" customHeight="1">
      <c r="B37" s="41">
        <v>46321</v>
      </c>
      <c r="C37" s="22">
        <v>26</v>
      </c>
      <c r="D37" s="22">
        <v>39</v>
      </c>
    </row>
    <row r="38" spans="2:4" ht="19" customHeight="1">
      <c r="B38" s="42">
        <v>46322</v>
      </c>
      <c r="C38" s="25">
        <v>0</v>
      </c>
      <c r="D38" s="25">
        <v>39</v>
      </c>
    </row>
    <row r="39" spans="2:4" ht="22" customHeight="1">
      <c r="B39" s="27" t="s">
        <v>23</v>
      </c>
      <c r="C39" s="28">
        <f>SUM(C9:C38)</f>
        <v>39</v>
      </c>
      <c r="D39" s="35"/>
    </row>
  </sheetData>
  <autoFilter ref="B8:D38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2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217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24</v>
      </c>
      <c r="C7" s="7"/>
      <c r="D7" s="7"/>
      <c r="E7" s="7"/>
      <c r="F7" s="8" t="s">
        <v>218</v>
      </c>
    </row>
    <row r="8" spans="1:15" ht="36" customHeight="1" x14ac:dyDescent="0.25">
      <c r="B8" s="19" t="s">
        <v>25</v>
      </c>
      <c r="C8" s="20" t="s">
        <v>219</v>
      </c>
      <c r="D8" s="20" t="s">
        <v>20</v>
      </c>
      <c r="E8" s="20" t="s">
        <v>220</v>
      </c>
      <c r="F8" s="20" t="s">
        <v>221</v>
      </c>
    </row>
    <row r="9" spans="1:15" ht="19" customHeight="1" x14ac:dyDescent="0.25">
      <c r="B9" s="21" t="s">
        <v>27</v>
      </c>
      <c r="C9" s="22">
        <v>4650</v>
      </c>
      <c r="D9" s="23">
        <v>0.4383897426227963</v>
      </c>
      <c r="E9" s="22">
        <v>4650</v>
      </c>
      <c r="F9" s="22">
        <v>8</v>
      </c>
    </row>
    <row r="10" spans="1:15" ht="19" customHeight="1" x14ac:dyDescent="0.25">
      <c r="B10" s="24" t="s">
        <v>110</v>
      </c>
      <c r="C10" s="25">
        <v>3690</v>
      </c>
      <c r="D10" s="26">
        <v>0.3478834731780899</v>
      </c>
      <c r="E10" s="25">
        <v>3420</v>
      </c>
      <c r="F10" s="25">
        <v>14</v>
      </c>
    </row>
    <row r="11" spans="1:15" ht="19" customHeight="1" x14ac:dyDescent="0.25">
      <c r="B11" s="21" t="s">
        <v>222</v>
      </c>
      <c r="C11" s="22">
        <v>757</v>
      </c>
      <c r="D11" s="23">
        <v>0.07136796455171114</v>
      </c>
      <c r="E11" s="22">
        <v>418</v>
      </c>
      <c r="F11" s="22">
        <v>7</v>
      </c>
    </row>
    <row r="12" spans="1:15" ht="19" customHeight="1" x14ac:dyDescent="0.25">
      <c r="B12" s="24" t="s">
        <v>223</v>
      </c>
      <c r="C12" s="25">
        <v>498</v>
      </c>
      <c r="D12" s="26">
        <v>0.04695012727444141</v>
      </c>
      <c r="E12" s="25">
        <v>498</v>
      </c>
      <c r="F12" s="25">
        <v>5</v>
      </c>
    </row>
    <row r="13" spans="1:15" ht="19" customHeight="1" x14ac:dyDescent="0.25">
      <c r="B13" s="21" t="s">
        <v>224</v>
      </c>
      <c r="C13" s="22">
        <v>180</v>
      </c>
      <c r="D13" s="23">
        <v>0.01696992552088243</v>
      </c>
      <c r="E13" s="22">
        <v>45</v>
      </c>
      <c r="F13" s="22">
        <v>6</v>
      </c>
    </row>
    <row r="14" spans="1:15" ht="19" customHeight="1" x14ac:dyDescent="0.25">
      <c r="B14" s="24" t="s">
        <v>225</v>
      </c>
      <c r="C14" s="25">
        <v>141</v>
      </c>
      <c r="D14" s="26">
        <v>0.01329310832469124</v>
      </c>
      <c r="E14" s="25">
        <v>141</v>
      </c>
      <c r="F14" s="25">
        <v>1</v>
      </c>
    </row>
    <row r="15" spans="1:15" ht="19" customHeight="1" x14ac:dyDescent="0.25">
      <c r="B15" s="21" t="s">
        <v>226</v>
      </c>
      <c r="C15" s="22">
        <v>133</v>
      </c>
      <c r="D15" s="23">
        <v>0.01253888941265202</v>
      </c>
      <c r="E15" s="22">
        <v>133</v>
      </c>
      <c r="F15" s="22">
        <v>4</v>
      </c>
    </row>
    <row r="16" spans="1:15" ht="19" customHeight="1" x14ac:dyDescent="0.25">
      <c r="B16" s="24" t="s">
        <v>227</v>
      </c>
      <c r="C16" s="25">
        <v>120</v>
      </c>
      <c r="D16" s="26">
        <v>0.01131328368058829</v>
      </c>
      <c r="E16" s="25">
        <v>113</v>
      </c>
      <c r="F16" s="25">
        <v>3</v>
      </c>
    </row>
    <row r="17" spans="2:6" ht="19" customHeight="1" x14ac:dyDescent="0.25">
      <c r="B17" s="21" t="s">
        <v>100</v>
      </c>
      <c r="C17" s="22">
        <v>110</v>
      </c>
      <c r="D17" s="23">
        <v>0.01037051004053927</v>
      </c>
      <c r="E17" s="22">
        <v>70</v>
      </c>
      <c r="F17" s="22">
        <v>7</v>
      </c>
    </row>
    <row r="18" spans="2:6" ht="19" customHeight="1" x14ac:dyDescent="0.25">
      <c r="B18" s="24" t="s">
        <v>228</v>
      </c>
      <c r="C18" s="25">
        <v>79</v>
      </c>
      <c r="D18" s="26">
        <v>0.007447911756387291</v>
      </c>
      <c r="E18" s="25">
        <v>80</v>
      </c>
      <c r="F18" s="25">
        <v>4</v>
      </c>
    </row>
    <row r="19" spans="2:6" ht="19" customHeight="1" x14ac:dyDescent="0.25">
      <c r="B19" s="21" t="s">
        <v>26</v>
      </c>
      <c r="C19" s="22">
        <v>66</v>
      </c>
      <c r="D19" s="23">
        <v>0.00622230602432356</v>
      </c>
      <c r="E19" s="22">
        <v>66</v>
      </c>
      <c r="F19" s="22">
        <v>1</v>
      </c>
    </row>
    <row r="20" spans="2:6" ht="19" customHeight="1" x14ac:dyDescent="0.25">
      <c r="B20" s="24" t="s">
        <v>164</v>
      </c>
      <c r="C20" s="25">
        <v>64</v>
      </c>
      <c r="D20" s="26">
        <v>0.006033751296313755</v>
      </c>
      <c r="E20" s="25">
        <v>32</v>
      </c>
      <c r="F20" s="25">
        <v>1</v>
      </c>
    </row>
    <row r="21" spans="2:6" ht="19" customHeight="1" x14ac:dyDescent="0.25">
      <c r="B21" s="21" t="s">
        <v>229</v>
      </c>
      <c r="C21" s="22">
        <v>44</v>
      </c>
      <c r="D21" s="23">
        <v>0.004148204016215707</v>
      </c>
      <c r="E21" s="22">
        <v>44</v>
      </c>
      <c r="F21" s="22">
        <v>1</v>
      </c>
    </row>
    <row r="22" spans="2:6" ht="19" customHeight="1" x14ac:dyDescent="0.25">
      <c r="B22" s="24" t="s">
        <v>93</v>
      </c>
      <c r="C22" s="25">
        <v>17</v>
      </c>
      <c r="D22" s="26">
        <v>0.001602715188083341</v>
      </c>
      <c r="E22" s="25">
        <v>17</v>
      </c>
      <c r="F22" s="25">
        <v>1</v>
      </c>
    </row>
    <row r="23" spans="2:6" ht="19" customHeight="1" x14ac:dyDescent="0.25">
      <c r="B23" s="21" t="s">
        <v>230</v>
      </c>
      <c r="C23" s="22">
        <v>17</v>
      </c>
      <c r="D23" s="23">
        <v>0.001602715188083341</v>
      </c>
      <c r="E23" s="22">
        <v>6</v>
      </c>
      <c r="F23" s="22">
        <v>6</v>
      </c>
    </row>
    <row r="24" spans="2:6" ht="19" customHeight="1" x14ac:dyDescent="0.25">
      <c r="B24" s="24" t="s">
        <v>231</v>
      </c>
      <c r="C24" s="25">
        <v>11</v>
      </c>
      <c r="D24" s="26">
        <v>0.001037051004053927</v>
      </c>
      <c r="E24" s="25">
        <v>2</v>
      </c>
      <c r="F24" s="25">
        <v>2</v>
      </c>
    </row>
    <row r="25" spans="2:6" ht="19" customHeight="1" x14ac:dyDescent="0.25">
      <c r="B25" s="21" t="s">
        <v>28</v>
      </c>
      <c r="C25" s="22">
        <v>10</v>
      </c>
      <c r="D25" s="23">
        <v>0.0009427736400490242</v>
      </c>
      <c r="E25" s="22">
        <v>10</v>
      </c>
      <c r="F25" s="22">
        <v>2</v>
      </c>
    </row>
    <row r="26" spans="2:6" ht="19" customHeight="1" x14ac:dyDescent="0.25">
      <c r="B26" s="24" t="s">
        <v>232</v>
      </c>
      <c r="C26" s="25">
        <v>7</v>
      </c>
      <c r="D26" s="26">
        <v>0.000659941548034317</v>
      </c>
      <c r="E26" s="25">
        <v>7</v>
      </c>
      <c r="F26" s="25">
        <v>2</v>
      </c>
    </row>
    <row r="27" spans="2:6" ht="19" customHeight="1" x14ac:dyDescent="0.25">
      <c r="B27" s="21" t="s">
        <v>233</v>
      </c>
      <c r="C27" s="22">
        <v>7</v>
      </c>
      <c r="D27" s="23">
        <v>0.000659941548034317</v>
      </c>
      <c r="E27" s="22">
        <v>1</v>
      </c>
      <c r="F27" s="22">
        <v>1</v>
      </c>
    </row>
    <row r="28" spans="2:6" ht="19" customHeight="1" x14ac:dyDescent="0.25">
      <c r="B28" s="24" t="s">
        <v>234</v>
      </c>
      <c r="C28" s="25">
        <v>5</v>
      </c>
      <c r="D28" s="26">
        <v>0.0004713868200245121</v>
      </c>
      <c r="E28" s="25">
        <v>7</v>
      </c>
      <c r="F28" s="25">
        <v>3</v>
      </c>
    </row>
    <row r="29" spans="2:6" ht="19" customHeight="1" x14ac:dyDescent="0.25">
      <c r="B29" s="21" t="s">
        <v>235</v>
      </c>
      <c r="C29" s="22">
        <v>1</v>
      </c>
      <c r="D29" s="23">
        <v>9.427736400490242E-05</v>
      </c>
      <c r="E29" s="22">
        <v>1</v>
      </c>
      <c r="F29" s="22">
        <v>1</v>
      </c>
    </row>
    <row r="30" spans="2:6" ht="22" customHeight="1" x14ac:dyDescent="0.25">
      <c r="B30" s="27" t="s">
        <v>23</v>
      </c>
      <c r="C30" s="28">
        <f>SUM(C9:C29)</f>
        <v>10607</v>
      </c>
      <c r="D30" s="29">
        <v>1</v>
      </c>
      <c r="E30" s="28">
        <f>SUM(E9:E29)</f>
        <v>9761</v>
      </c>
      <c r="F30" s="28">
        <f>SUM(F9:F29)</f>
        <v>80</v>
      </c>
    </row>
    <row r="32" spans="2:6" ht="30" customHeight="1" x14ac:dyDescent="0.25">
      <c r="B32" s="43" t="s">
        <v>236</v>
      </c>
      <c r="C32" s="43"/>
      <c r="D32" s="43"/>
      <c r="E32" s="43"/>
      <c r="F32" s="43"/>
    </row>
  </sheetData>
  <mergeCells count="1">
    <mergeCell ref="B32:F32"/>
  </mergeCells>
  <conditionalFormatting sqref="D9:D29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D9:D29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91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237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238</v>
      </c>
      <c r="C7" s="7"/>
      <c r="D7" s="7"/>
      <c r="E7" s="7"/>
      <c r="F7" s="7"/>
      <c r="G7" s="7"/>
      <c r="H7" s="8" t="s">
        <v>218</v>
      </c>
    </row>
    <row r="8" spans="1:9" ht="46" customHeight="1">
      <c r="B8" s="44" t="s">
        <v>239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214</v>
      </c>
      <c r="C10" s="32" t="s">
        <v>25</v>
      </c>
      <c r="D10" s="32" t="s">
        <v>39</v>
      </c>
      <c r="E10" s="20" t="s">
        <v>219</v>
      </c>
      <c r="F10" s="20" t="s">
        <v>240</v>
      </c>
      <c r="G10" s="20" t="s">
        <v>220</v>
      </c>
      <c r="H10" s="36" t="s">
        <v>241</v>
      </c>
    </row>
    <row r="11" spans="1:9" ht="19" customHeight="1">
      <c r="B11" s="41">
        <v>46293</v>
      </c>
      <c r="C11" s="33" t="s">
        <v>27</v>
      </c>
      <c r="D11" s="33" t="s">
        <v>107</v>
      </c>
      <c r="E11" s="22">
        <v>400</v>
      </c>
      <c r="F11" s="22">
        <v>400</v>
      </c>
      <c r="G11" s="22">
        <v>400</v>
      </c>
      <c r="H11" s="38" t="s">
        <v>242</v>
      </c>
    </row>
    <row r="12" spans="1:9" ht="19" customHeight="1">
      <c r="B12" s="42">
        <v>46293</v>
      </c>
      <c r="C12" s="34" t="s">
        <v>110</v>
      </c>
      <c r="D12" s="34" t="s">
        <v>243</v>
      </c>
      <c r="E12" s="25">
        <v>140</v>
      </c>
      <c r="F12" s="25">
        <v>540</v>
      </c>
      <c r="G12" s="25">
        <v>140</v>
      </c>
      <c r="H12" s="40" t="s">
        <v>244</v>
      </c>
    </row>
    <row r="13" spans="1:9" ht="19" customHeight="1">
      <c r="B13" s="41">
        <v>46294</v>
      </c>
      <c r="C13" s="33" t="s">
        <v>27</v>
      </c>
      <c r="D13" s="33" t="s">
        <v>107</v>
      </c>
      <c r="E13" s="22">
        <v>300</v>
      </c>
      <c r="F13" s="22">
        <v>840</v>
      </c>
      <c r="G13" s="22">
        <v>300</v>
      </c>
      <c r="H13" s="38" t="s">
        <v>245</v>
      </c>
    </row>
    <row r="14" spans="1:9" ht="19" customHeight="1">
      <c r="B14" s="42">
        <v>46294</v>
      </c>
      <c r="C14" s="34" t="s">
        <v>222</v>
      </c>
      <c r="D14" s="34" t="s">
        <v>246</v>
      </c>
      <c r="E14" s="25">
        <v>60</v>
      </c>
      <c r="F14" s="25">
        <v>900</v>
      </c>
      <c r="G14" s="25">
        <v>23</v>
      </c>
      <c r="H14" s="40" t="s">
        <v>247</v>
      </c>
    </row>
    <row r="15" spans="1:9" ht="19" customHeight="1">
      <c r="B15" s="41">
        <v>46294</v>
      </c>
      <c r="C15" s="33" t="s">
        <v>233</v>
      </c>
      <c r="D15" s="33" t="s">
        <v>248</v>
      </c>
      <c r="E15" s="22">
        <v>7</v>
      </c>
      <c r="F15" s="22">
        <v>907</v>
      </c>
      <c r="G15" s="22">
        <v>1</v>
      </c>
      <c r="H15" s="38" t="s">
        <v>249</v>
      </c>
    </row>
    <row r="16" spans="1:9" ht="19" customHeight="1">
      <c r="B16" s="42">
        <v>46295</v>
      </c>
      <c r="C16" s="34" t="s">
        <v>100</v>
      </c>
      <c r="D16" s="34" t="s">
        <v>250</v>
      </c>
      <c r="E16" s="25">
        <v>10</v>
      </c>
      <c r="F16" s="25">
        <v>917</v>
      </c>
      <c r="G16" s="25">
        <v>3</v>
      </c>
      <c r="H16" s="40" t="s">
        <v>251</v>
      </c>
    </row>
    <row r="17" spans="2:8" ht="19" customHeight="1">
      <c r="B17" s="41">
        <v>46296</v>
      </c>
      <c r="C17" s="33" t="s">
        <v>110</v>
      </c>
      <c r="D17" s="33" t="s">
        <v>243</v>
      </c>
      <c r="E17" s="22">
        <v>540</v>
      </c>
      <c r="F17" s="22">
        <v>1457</v>
      </c>
      <c r="G17" s="22">
        <v>270</v>
      </c>
      <c r="H17" s="38" t="s">
        <v>252</v>
      </c>
    </row>
    <row r="18" spans="2:8" ht="19" customHeight="1">
      <c r="B18" s="42">
        <v>46296</v>
      </c>
      <c r="C18" s="34" t="s">
        <v>110</v>
      </c>
      <c r="D18" s="34" t="s">
        <v>253</v>
      </c>
      <c r="E18" s="25">
        <v>120</v>
      </c>
      <c r="F18" s="25">
        <v>1577</v>
      </c>
      <c r="G18" s="25">
        <v>120</v>
      </c>
      <c r="H18" s="40" t="s">
        <v>254</v>
      </c>
    </row>
    <row r="19" spans="2:8" ht="19" customHeight="1">
      <c r="B19" s="41">
        <v>46296</v>
      </c>
      <c r="C19" s="33" t="s">
        <v>110</v>
      </c>
      <c r="D19" s="33" t="s">
        <v>253</v>
      </c>
      <c r="E19" s="22">
        <v>80</v>
      </c>
      <c r="F19" s="22">
        <v>1657</v>
      </c>
      <c r="G19" s="22">
        <v>80</v>
      </c>
      <c r="H19" s="38" t="s">
        <v>255</v>
      </c>
    </row>
    <row r="20" spans="2:8" ht="19" customHeight="1">
      <c r="B20" s="42">
        <v>46296</v>
      </c>
      <c r="C20" s="34" t="s">
        <v>226</v>
      </c>
      <c r="D20" s="34" t="s">
        <v>256</v>
      </c>
      <c r="E20" s="25">
        <v>5</v>
      </c>
      <c r="F20" s="25">
        <v>1662</v>
      </c>
      <c r="G20" s="25">
        <v>5</v>
      </c>
      <c r="H20" s="40" t="s">
        <v>257</v>
      </c>
    </row>
    <row r="21" spans="2:8" ht="19" customHeight="1">
      <c r="B21" s="41">
        <v>46296</v>
      </c>
      <c r="C21" s="33" t="s">
        <v>234</v>
      </c>
      <c r="D21" s="33" t="s">
        <v>258</v>
      </c>
      <c r="E21" s="22">
        <v>1</v>
      </c>
      <c r="F21" s="22">
        <v>1663</v>
      </c>
      <c r="G21" s="22">
        <v>1</v>
      </c>
      <c r="H21" s="38" t="s">
        <v>259</v>
      </c>
    </row>
    <row r="22" spans="2:8" ht="19" customHeight="1">
      <c r="B22" s="42">
        <v>46296</v>
      </c>
      <c r="C22" s="34" t="s">
        <v>234</v>
      </c>
      <c r="D22" s="34" t="s">
        <v>258</v>
      </c>
      <c r="E22" s="25">
        <v>1</v>
      </c>
      <c r="F22" s="25">
        <v>1664</v>
      </c>
      <c r="G22" s="25">
        <v>1</v>
      </c>
      <c r="H22" s="40" t="s">
        <v>260</v>
      </c>
    </row>
    <row r="23" spans="2:8" ht="19" customHeight="1">
      <c r="B23" s="41">
        <v>46297</v>
      </c>
      <c r="C23" s="33" t="s">
        <v>226</v>
      </c>
      <c r="D23" s="33" t="s">
        <v>225</v>
      </c>
      <c r="E23" s="22">
        <v>87</v>
      </c>
      <c r="F23" s="22">
        <v>1751</v>
      </c>
      <c r="G23" s="22">
        <v>87</v>
      </c>
      <c r="H23" s="38" t="s">
        <v>261</v>
      </c>
    </row>
    <row r="24" spans="2:8" ht="19" customHeight="1">
      <c r="B24" s="42">
        <v>46297</v>
      </c>
      <c r="C24" s="34" t="s">
        <v>110</v>
      </c>
      <c r="D24" s="34" t="s">
        <v>253</v>
      </c>
      <c r="E24" s="25">
        <v>85</v>
      </c>
      <c r="F24" s="25">
        <v>1836</v>
      </c>
      <c r="G24" s="25">
        <v>85</v>
      </c>
      <c r="H24" s="40" t="s">
        <v>262</v>
      </c>
    </row>
    <row r="25" spans="2:8" ht="19" customHeight="1">
      <c r="B25" s="41">
        <v>46297</v>
      </c>
      <c r="C25" s="33" t="s">
        <v>223</v>
      </c>
      <c r="D25" s="33" t="s">
        <v>263</v>
      </c>
      <c r="E25" s="22">
        <v>85</v>
      </c>
      <c r="F25" s="22">
        <v>1921</v>
      </c>
      <c r="G25" s="22">
        <v>85</v>
      </c>
      <c r="H25" s="38" t="s">
        <v>264</v>
      </c>
    </row>
    <row r="26" spans="2:8" ht="19" customHeight="1">
      <c r="B26" s="42">
        <v>46298</v>
      </c>
      <c r="C26" s="34" t="s">
        <v>110</v>
      </c>
      <c r="D26" s="34" t="s">
        <v>265</v>
      </c>
      <c r="E26" s="25">
        <v>772</v>
      </c>
      <c r="F26" s="25">
        <v>2693</v>
      </c>
      <c r="G26" s="25">
        <v>772</v>
      </c>
      <c r="H26" s="40" t="s">
        <v>266</v>
      </c>
    </row>
    <row r="27" spans="2:8" ht="19" customHeight="1">
      <c r="B27" s="41">
        <v>46298</v>
      </c>
      <c r="C27" s="33" t="s">
        <v>110</v>
      </c>
      <c r="D27" s="33" t="s">
        <v>243</v>
      </c>
      <c r="E27" s="22">
        <v>18</v>
      </c>
      <c r="F27" s="22">
        <v>2711</v>
      </c>
      <c r="G27" s="22">
        <v>18</v>
      </c>
      <c r="H27" s="38" t="s">
        <v>267</v>
      </c>
    </row>
    <row r="28" spans="2:8" ht="19" customHeight="1">
      <c r="B28" s="42">
        <v>46299</v>
      </c>
      <c r="C28" s="34" t="s">
        <v>222</v>
      </c>
      <c r="D28" s="34" t="s">
        <v>268</v>
      </c>
      <c r="E28" s="25">
        <v>30</v>
      </c>
      <c r="F28" s="25">
        <v>2741</v>
      </c>
      <c r="G28" s="25">
        <v>30</v>
      </c>
      <c r="H28" s="40" t="s">
        <v>269</v>
      </c>
    </row>
    <row r="29" spans="2:8" ht="19" customHeight="1">
      <c r="B29" s="41">
        <v>46300</v>
      </c>
      <c r="C29" s="33" t="s">
        <v>27</v>
      </c>
      <c r="D29" s="33" t="s">
        <v>60</v>
      </c>
      <c r="E29" s="22">
        <v>1500</v>
      </c>
      <c r="F29" s="22">
        <v>4241</v>
      </c>
      <c r="G29" s="22">
        <v>1500</v>
      </c>
      <c r="H29" s="38" t="s">
        <v>270</v>
      </c>
    </row>
    <row r="30" spans="2:8" ht="19" customHeight="1">
      <c r="B30" s="42">
        <v>46300</v>
      </c>
      <c r="C30" s="34" t="s">
        <v>100</v>
      </c>
      <c r="D30" s="34" t="s">
        <v>139</v>
      </c>
      <c r="E30" s="25">
        <v>10</v>
      </c>
      <c r="F30" s="25">
        <v>4251</v>
      </c>
      <c r="G30" s="25">
        <v>10</v>
      </c>
      <c r="H30" s="40" t="s">
        <v>271</v>
      </c>
    </row>
    <row r="31" spans="2:8" ht="19" customHeight="1">
      <c r="B31" s="41">
        <v>46301</v>
      </c>
      <c r="C31" s="33" t="s">
        <v>110</v>
      </c>
      <c r="D31" s="33" t="s">
        <v>110</v>
      </c>
      <c r="E31" s="22">
        <v>1270</v>
      </c>
      <c r="F31" s="22">
        <v>5521</v>
      </c>
      <c r="G31" s="22">
        <v>1270</v>
      </c>
      <c r="H31" s="38" t="s">
        <v>272</v>
      </c>
    </row>
    <row r="32" spans="2:8" ht="19" customHeight="1">
      <c r="B32" s="42">
        <v>46301</v>
      </c>
      <c r="C32" s="34" t="s">
        <v>110</v>
      </c>
      <c r="D32" s="34" t="s">
        <v>243</v>
      </c>
      <c r="E32" s="25">
        <v>50</v>
      </c>
      <c r="F32" s="25">
        <v>5571</v>
      </c>
      <c r="G32" s="25">
        <v>50</v>
      </c>
      <c r="H32" s="40" t="s">
        <v>273</v>
      </c>
    </row>
    <row r="33" spans="2:8" ht="19" customHeight="1">
      <c r="B33" s="41">
        <v>46301</v>
      </c>
      <c r="C33" s="33" t="s">
        <v>227</v>
      </c>
      <c r="D33" s="33" t="s">
        <v>274</v>
      </c>
      <c r="E33" s="22">
        <v>10</v>
      </c>
      <c r="F33" s="22">
        <v>5581</v>
      </c>
      <c r="G33" s="22">
        <v>5</v>
      </c>
      <c r="H33" s="38" t="s">
        <v>275</v>
      </c>
    </row>
    <row r="34" spans="2:8" ht="19" customHeight="1">
      <c r="B34" s="42">
        <v>46302</v>
      </c>
      <c r="C34" s="34" t="s">
        <v>227</v>
      </c>
      <c r="D34" s="34" t="s">
        <v>276</v>
      </c>
      <c r="E34" s="25">
        <v>10</v>
      </c>
      <c r="F34" s="25">
        <v>5591</v>
      </c>
      <c r="G34" s="25">
        <v>10</v>
      </c>
      <c r="H34" s="40" t="s">
        <v>277</v>
      </c>
    </row>
    <row r="35" spans="2:8" ht="19" customHeight="1">
      <c r="B35" s="41">
        <v>46303</v>
      </c>
      <c r="C35" s="33" t="s">
        <v>225</v>
      </c>
      <c r="D35" s="33" t="s">
        <v>278</v>
      </c>
      <c r="E35" s="22">
        <v>141</v>
      </c>
      <c r="F35" s="22">
        <v>5732</v>
      </c>
      <c r="G35" s="22">
        <v>141</v>
      </c>
      <c r="H35" s="38" t="s">
        <v>279</v>
      </c>
    </row>
    <row r="36" spans="2:8" ht="19" customHeight="1">
      <c r="B36" s="42">
        <v>46303</v>
      </c>
      <c r="C36" s="34" t="s">
        <v>110</v>
      </c>
      <c r="D36" s="34" t="s">
        <v>243</v>
      </c>
      <c r="E36" s="25">
        <v>125</v>
      </c>
      <c r="F36" s="25">
        <v>5857</v>
      </c>
      <c r="G36" s="25">
        <v>125</v>
      </c>
      <c r="H36" s="40" t="s">
        <v>280</v>
      </c>
    </row>
    <row r="37" spans="2:8" ht="19" customHeight="1">
      <c r="B37" s="41">
        <v>46303</v>
      </c>
      <c r="C37" s="33" t="s">
        <v>110</v>
      </c>
      <c r="D37" s="33" t="s">
        <v>243</v>
      </c>
      <c r="E37" s="22">
        <v>75</v>
      </c>
      <c r="F37" s="22">
        <v>5932</v>
      </c>
      <c r="G37" s="22">
        <v>75</v>
      </c>
      <c r="H37" s="38" t="s">
        <v>281</v>
      </c>
    </row>
    <row r="38" spans="2:8" ht="19" customHeight="1">
      <c r="B38" s="42">
        <v>46303</v>
      </c>
      <c r="C38" s="34" t="s">
        <v>110</v>
      </c>
      <c r="D38" s="34" t="s">
        <v>243</v>
      </c>
      <c r="E38" s="25">
        <v>40</v>
      </c>
      <c r="F38" s="25">
        <v>5972</v>
      </c>
      <c r="G38" s="25">
        <v>40</v>
      </c>
      <c r="H38" s="40" t="s">
        <v>282</v>
      </c>
    </row>
    <row r="39" spans="2:8" ht="19" customHeight="1">
      <c r="B39" s="41">
        <v>46303</v>
      </c>
      <c r="C39" s="33" t="s">
        <v>223</v>
      </c>
      <c r="D39" s="33" t="s">
        <v>263</v>
      </c>
      <c r="E39" s="22">
        <v>40</v>
      </c>
      <c r="F39" s="22">
        <v>6012</v>
      </c>
      <c r="G39" s="22">
        <v>40</v>
      </c>
      <c r="H39" s="38" t="s">
        <v>283</v>
      </c>
    </row>
    <row r="40" spans="2:8" ht="19" customHeight="1">
      <c r="B40" s="42">
        <v>46304</v>
      </c>
      <c r="C40" s="34" t="s">
        <v>226</v>
      </c>
      <c r="D40" s="34" t="s">
        <v>256</v>
      </c>
      <c r="E40" s="25">
        <v>11</v>
      </c>
      <c r="F40" s="25">
        <v>6023</v>
      </c>
      <c r="G40" s="25">
        <v>11</v>
      </c>
      <c r="H40" s="40" t="s">
        <v>284</v>
      </c>
    </row>
    <row r="41" spans="2:8" ht="19" customHeight="1">
      <c r="B41" s="41">
        <v>46305</v>
      </c>
      <c r="C41" s="33" t="s">
        <v>222</v>
      </c>
      <c r="D41" s="33" t="s">
        <v>268</v>
      </c>
      <c r="E41" s="22">
        <v>70</v>
      </c>
      <c r="F41" s="22">
        <v>6093</v>
      </c>
      <c r="G41" s="22">
        <v>30</v>
      </c>
      <c r="H41" s="38" t="s">
        <v>285</v>
      </c>
    </row>
    <row r="42" spans="2:8" ht="19" customHeight="1">
      <c r="B42" s="42">
        <v>46305</v>
      </c>
      <c r="C42" s="34" t="s">
        <v>228</v>
      </c>
      <c r="D42" s="34" t="s">
        <v>286</v>
      </c>
      <c r="E42" s="25">
        <v>29</v>
      </c>
      <c r="F42" s="25">
        <v>6122</v>
      </c>
      <c r="G42" s="25">
        <v>30</v>
      </c>
      <c r="H42" s="40" t="s">
        <v>287</v>
      </c>
    </row>
    <row r="43" spans="2:8" ht="19" customHeight="1">
      <c r="B43" s="41">
        <v>46307</v>
      </c>
      <c r="C43" s="33" t="s">
        <v>223</v>
      </c>
      <c r="D43" s="33" t="s">
        <v>263</v>
      </c>
      <c r="E43" s="22">
        <v>22</v>
      </c>
      <c r="F43" s="22">
        <v>6144</v>
      </c>
      <c r="G43" s="22">
        <v>22</v>
      </c>
      <c r="H43" s="38" t="s">
        <v>288</v>
      </c>
    </row>
    <row r="44" spans="2:8" ht="19" customHeight="1">
      <c r="B44" s="42">
        <v>46307</v>
      </c>
      <c r="C44" s="34" t="s">
        <v>231</v>
      </c>
      <c r="D44" s="34" t="s">
        <v>289</v>
      </c>
      <c r="E44" s="25">
        <v>6</v>
      </c>
      <c r="F44" s="25">
        <v>6150</v>
      </c>
      <c r="G44" s="25">
        <v>1</v>
      </c>
      <c r="H44" s="40" t="s">
        <v>290</v>
      </c>
    </row>
    <row r="45" spans="2:8" ht="19" customHeight="1">
      <c r="B45" s="41">
        <v>46308</v>
      </c>
      <c r="C45" s="33" t="s">
        <v>164</v>
      </c>
      <c r="D45" s="33" t="s">
        <v>165</v>
      </c>
      <c r="E45" s="22">
        <v>64</v>
      </c>
      <c r="F45" s="22">
        <v>6214</v>
      </c>
      <c r="G45" s="22">
        <v>32</v>
      </c>
      <c r="H45" s="38" t="s">
        <v>291</v>
      </c>
    </row>
    <row r="46" spans="2:8" ht="19" customHeight="1">
      <c r="B46" s="42">
        <v>46308</v>
      </c>
      <c r="C46" s="34" t="s">
        <v>224</v>
      </c>
      <c r="D46" s="34" t="s">
        <v>292</v>
      </c>
      <c r="E46" s="25">
        <v>24</v>
      </c>
      <c r="F46" s="25">
        <v>6238</v>
      </c>
      <c r="G46" s="25">
        <v>6</v>
      </c>
      <c r="H46" s="40" t="s">
        <v>293</v>
      </c>
    </row>
    <row r="47" spans="2:8" ht="19" customHeight="1">
      <c r="B47" s="41">
        <v>46308</v>
      </c>
      <c r="C47" s="33" t="s">
        <v>224</v>
      </c>
      <c r="D47" s="33" t="s">
        <v>292</v>
      </c>
      <c r="E47" s="22">
        <v>24</v>
      </c>
      <c r="F47" s="22">
        <v>6262</v>
      </c>
      <c r="G47" s="22">
        <v>6</v>
      </c>
      <c r="H47" s="38" t="s">
        <v>294</v>
      </c>
    </row>
    <row r="48" spans="2:8" ht="19" customHeight="1">
      <c r="B48" s="42">
        <v>46308</v>
      </c>
      <c r="C48" s="34" t="s">
        <v>224</v>
      </c>
      <c r="D48" s="34" t="s">
        <v>292</v>
      </c>
      <c r="E48" s="25">
        <v>24</v>
      </c>
      <c r="F48" s="25">
        <v>6286</v>
      </c>
      <c r="G48" s="25">
        <v>6</v>
      </c>
      <c r="H48" s="40" t="s">
        <v>295</v>
      </c>
    </row>
    <row r="49" spans="2:8" ht="19" customHeight="1">
      <c r="B49" s="41">
        <v>46309</v>
      </c>
      <c r="C49" s="33" t="s">
        <v>223</v>
      </c>
      <c r="D49" s="33" t="s">
        <v>263</v>
      </c>
      <c r="E49" s="22">
        <v>135</v>
      </c>
      <c r="F49" s="22">
        <v>6421</v>
      </c>
      <c r="G49" s="22">
        <v>135</v>
      </c>
      <c r="H49" s="38" t="s">
        <v>296</v>
      </c>
    </row>
    <row r="50" spans="2:8" ht="19" customHeight="1">
      <c r="B50" s="42">
        <v>46310</v>
      </c>
      <c r="C50" s="34" t="s">
        <v>28</v>
      </c>
      <c r="D50" s="34" t="s">
        <v>297</v>
      </c>
      <c r="E50" s="25">
        <v>7</v>
      </c>
      <c r="F50" s="25">
        <v>6428</v>
      </c>
      <c r="G50" s="25">
        <v>7</v>
      </c>
      <c r="H50" s="40" t="s">
        <v>298</v>
      </c>
    </row>
    <row r="51" spans="2:8" ht="19" customHeight="1">
      <c r="B51" s="41">
        <v>46311</v>
      </c>
      <c r="C51" s="33" t="s">
        <v>222</v>
      </c>
      <c r="D51" s="33" t="s">
        <v>299</v>
      </c>
      <c r="E51" s="22">
        <v>200</v>
      </c>
      <c r="F51" s="22">
        <v>6628</v>
      </c>
      <c r="G51" s="22">
        <v>200</v>
      </c>
      <c r="H51" s="38" t="s">
        <v>300</v>
      </c>
    </row>
    <row r="52" spans="2:8" ht="19" customHeight="1">
      <c r="B52" s="42">
        <v>46311</v>
      </c>
      <c r="C52" s="34" t="s">
        <v>229</v>
      </c>
      <c r="D52" s="34" t="s">
        <v>301</v>
      </c>
      <c r="E52" s="25">
        <v>44</v>
      </c>
      <c r="F52" s="25">
        <v>6672</v>
      </c>
      <c r="G52" s="25">
        <v>44</v>
      </c>
      <c r="H52" s="40" t="s">
        <v>302</v>
      </c>
    </row>
    <row r="53" spans="2:8" ht="19" customHeight="1">
      <c r="B53" s="41">
        <v>46311</v>
      </c>
      <c r="C53" s="33" t="s">
        <v>226</v>
      </c>
      <c r="D53" s="33" t="s">
        <v>256</v>
      </c>
      <c r="E53" s="22">
        <v>30</v>
      </c>
      <c r="F53" s="22">
        <v>6702</v>
      </c>
      <c r="G53" s="22">
        <v>30</v>
      </c>
      <c r="H53" s="38" t="s">
        <v>303</v>
      </c>
    </row>
    <row r="54" spans="2:8" ht="19" customHeight="1">
      <c r="B54" s="42">
        <v>46311</v>
      </c>
      <c r="C54" s="34" t="s">
        <v>232</v>
      </c>
      <c r="D54" s="34" t="s">
        <v>304</v>
      </c>
      <c r="E54" s="25">
        <v>4</v>
      </c>
      <c r="F54" s="25">
        <v>6706</v>
      </c>
      <c r="G54" s="25">
        <v>4</v>
      </c>
      <c r="H54" s="40" t="s">
        <v>305</v>
      </c>
    </row>
    <row r="55" spans="2:8" ht="19" customHeight="1">
      <c r="B55" s="41">
        <v>46311</v>
      </c>
      <c r="C55" s="33" t="s">
        <v>232</v>
      </c>
      <c r="D55" s="33" t="s">
        <v>232</v>
      </c>
      <c r="E55" s="22">
        <v>3</v>
      </c>
      <c r="F55" s="22">
        <v>6709</v>
      </c>
      <c r="G55" s="22">
        <v>3</v>
      </c>
      <c r="H55" s="38" t="s">
        <v>306</v>
      </c>
    </row>
    <row r="56" spans="2:8" ht="19" customHeight="1">
      <c r="B56" s="42">
        <v>46312</v>
      </c>
      <c r="C56" s="34" t="s">
        <v>228</v>
      </c>
      <c r="D56" s="34" t="s">
        <v>307</v>
      </c>
      <c r="E56" s="25">
        <v>20</v>
      </c>
      <c r="F56" s="25">
        <v>6729</v>
      </c>
      <c r="G56" s="25">
        <v>20</v>
      </c>
      <c r="H56" s="40" t="s">
        <v>308</v>
      </c>
    </row>
    <row r="57" spans="2:8" ht="19" customHeight="1">
      <c r="B57" s="41">
        <v>46314</v>
      </c>
      <c r="C57" s="33" t="s">
        <v>224</v>
      </c>
      <c r="D57" s="33" t="s">
        <v>309</v>
      </c>
      <c r="E57" s="22">
        <v>36</v>
      </c>
      <c r="F57" s="22">
        <v>6765</v>
      </c>
      <c r="G57" s="22">
        <v>9</v>
      </c>
      <c r="H57" s="38" t="s">
        <v>310</v>
      </c>
    </row>
    <row r="58" spans="2:8" ht="19" customHeight="1">
      <c r="B58" s="42">
        <v>46314</v>
      </c>
      <c r="C58" s="34" t="s">
        <v>224</v>
      </c>
      <c r="D58" s="34" t="s">
        <v>309</v>
      </c>
      <c r="E58" s="25">
        <v>36</v>
      </c>
      <c r="F58" s="25">
        <v>6801</v>
      </c>
      <c r="G58" s="25">
        <v>9</v>
      </c>
      <c r="H58" s="40" t="s">
        <v>311</v>
      </c>
    </row>
    <row r="59" spans="2:8" ht="19" customHeight="1">
      <c r="B59" s="41">
        <v>46315</v>
      </c>
      <c r="C59" s="33" t="s">
        <v>27</v>
      </c>
      <c r="D59" s="33" t="s">
        <v>60</v>
      </c>
      <c r="E59" s="22">
        <v>1000</v>
      </c>
      <c r="F59" s="22">
        <v>7801</v>
      </c>
      <c r="G59" s="22">
        <v>1000</v>
      </c>
      <c r="H59" s="38" t="s">
        <v>312</v>
      </c>
    </row>
    <row r="60" spans="2:8" ht="19" customHeight="1">
      <c r="B60" s="42">
        <v>46315</v>
      </c>
      <c r="C60" s="34" t="s">
        <v>27</v>
      </c>
      <c r="D60" s="34" t="s">
        <v>107</v>
      </c>
      <c r="E60" s="25">
        <v>800</v>
      </c>
      <c r="F60" s="25">
        <v>8601</v>
      </c>
      <c r="G60" s="25">
        <v>800</v>
      </c>
      <c r="H60" s="40" t="s">
        <v>313</v>
      </c>
    </row>
    <row r="61" spans="2:8" ht="19" customHeight="1">
      <c r="B61" s="41">
        <v>46315</v>
      </c>
      <c r="C61" s="33" t="s">
        <v>27</v>
      </c>
      <c r="D61" s="33" t="s">
        <v>107</v>
      </c>
      <c r="E61" s="22">
        <v>300</v>
      </c>
      <c r="F61" s="22">
        <v>8901</v>
      </c>
      <c r="G61" s="22">
        <v>300</v>
      </c>
      <c r="H61" s="38" t="s">
        <v>314</v>
      </c>
    </row>
    <row r="62" spans="2:8" ht="19" customHeight="1">
      <c r="B62" s="42">
        <v>46315</v>
      </c>
      <c r="C62" s="34" t="s">
        <v>223</v>
      </c>
      <c r="D62" s="34" t="s">
        <v>263</v>
      </c>
      <c r="E62" s="25">
        <v>216</v>
      </c>
      <c r="F62" s="25">
        <v>9117</v>
      </c>
      <c r="G62" s="25">
        <v>216</v>
      </c>
      <c r="H62" s="40" t="s">
        <v>315</v>
      </c>
    </row>
    <row r="63" spans="2:8" ht="19" customHeight="1">
      <c r="B63" s="41">
        <v>46316</v>
      </c>
      <c r="C63" s="33" t="s">
        <v>93</v>
      </c>
      <c r="D63" s="33" t="s">
        <v>94</v>
      </c>
      <c r="E63" s="22">
        <v>17</v>
      </c>
      <c r="F63" s="22">
        <v>9134</v>
      </c>
      <c r="G63" s="22">
        <v>17</v>
      </c>
      <c r="H63" s="38" t="s">
        <v>316</v>
      </c>
    </row>
    <row r="64" spans="2:8" ht="19" customHeight="1">
      <c r="B64" s="42">
        <v>46316</v>
      </c>
      <c r="C64" s="34" t="s">
        <v>231</v>
      </c>
      <c r="D64" s="34" t="s">
        <v>317</v>
      </c>
      <c r="E64" s="25">
        <v>5</v>
      </c>
      <c r="F64" s="25">
        <v>9139</v>
      </c>
      <c r="G64" s="25">
        <v>1</v>
      </c>
      <c r="H64" s="40" t="s">
        <v>318</v>
      </c>
    </row>
    <row r="65" spans="2:8" ht="19" customHeight="1">
      <c r="B65" s="41">
        <v>46316</v>
      </c>
      <c r="C65" s="33" t="s">
        <v>234</v>
      </c>
      <c r="D65" s="33" t="s">
        <v>258</v>
      </c>
      <c r="E65" s="22">
        <v>3</v>
      </c>
      <c r="F65" s="22">
        <v>9142</v>
      </c>
      <c r="G65" s="22">
        <v>5</v>
      </c>
      <c r="H65" s="38" t="s">
        <v>319</v>
      </c>
    </row>
    <row r="66" spans="2:8" ht="19" customHeight="1">
      <c r="B66" s="42">
        <v>46317</v>
      </c>
      <c r="C66" s="34" t="s">
        <v>227</v>
      </c>
      <c r="D66" s="34" t="s">
        <v>320</v>
      </c>
      <c r="E66" s="25">
        <v>100</v>
      </c>
      <c r="F66" s="25">
        <v>9242</v>
      </c>
      <c r="G66" s="25">
        <v>98</v>
      </c>
      <c r="H66" s="40" t="s">
        <v>321</v>
      </c>
    </row>
    <row r="67" spans="2:8" ht="19" customHeight="1">
      <c r="B67" s="41">
        <v>46317</v>
      </c>
      <c r="C67" s="33" t="s">
        <v>230</v>
      </c>
      <c r="D67" s="33" t="s">
        <v>322</v>
      </c>
      <c r="E67" s="22">
        <v>11</v>
      </c>
      <c r="F67" s="22">
        <v>9253</v>
      </c>
      <c r="G67" s="22">
        <v>1</v>
      </c>
      <c r="H67" s="38" t="s">
        <v>323</v>
      </c>
    </row>
    <row r="68" spans="2:8" ht="19" customHeight="1">
      <c r="B68" s="42">
        <v>46317</v>
      </c>
      <c r="C68" s="34" t="s">
        <v>28</v>
      </c>
      <c r="D68" s="34" t="s">
        <v>78</v>
      </c>
      <c r="E68" s="25">
        <v>3</v>
      </c>
      <c r="F68" s="25">
        <v>9256</v>
      </c>
      <c r="G68" s="25">
        <v>3</v>
      </c>
      <c r="H68" s="40" t="s">
        <v>324</v>
      </c>
    </row>
    <row r="69" spans="2:8" ht="19" customHeight="1">
      <c r="B69" s="41">
        <v>46318</v>
      </c>
      <c r="C69" s="33" t="s">
        <v>27</v>
      </c>
      <c r="D69" s="33" t="s">
        <v>124</v>
      </c>
      <c r="E69" s="22">
        <v>250</v>
      </c>
      <c r="F69" s="22">
        <v>9506</v>
      </c>
      <c r="G69" s="22">
        <v>250</v>
      </c>
      <c r="H69" s="38" t="s">
        <v>325</v>
      </c>
    </row>
    <row r="70" spans="2:8" ht="19" customHeight="1">
      <c r="B70" s="42">
        <v>46319</v>
      </c>
      <c r="C70" s="34" t="s">
        <v>110</v>
      </c>
      <c r="D70" s="34" t="s">
        <v>110</v>
      </c>
      <c r="E70" s="25">
        <v>150</v>
      </c>
      <c r="F70" s="25">
        <v>9656</v>
      </c>
      <c r="G70" s="25">
        <v>150</v>
      </c>
      <c r="H70" s="40" t="s">
        <v>326</v>
      </c>
    </row>
    <row r="71" spans="2:8" ht="19" customHeight="1">
      <c r="B71" s="41">
        <v>46319</v>
      </c>
      <c r="C71" s="33" t="s">
        <v>222</v>
      </c>
      <c r="D71" s="33" t="s">
        <v>268</v>
      </c>
      <c r="E71" s="22">
        <v>100</v>
      </c>
      <c r="F71" s="22">
        <v>9756</v>
      </c>
      <c r="G71" s="22">
        <v>35</v>
      </c>
      <c r="H71" s="38" t="s">
        <v>327</v>
      </c>
    </row>
    <row r="72" spans="2:8" ht="19" customHeight="1">
      <c r="B72" s="42">
        <v>46319</v>
      </c>
      <c r="C72" s="34" t="s">
        <v>27</v>
      </c>
      <c r="D72" s="34" t="s">
        <v>328</v>
      </c>
      <c r="E72" s="25">
        <v>100</v>
      </c>
      <c r="F72" s="25">
        <v>9856</v>
      </c>
      <c r="G72" s="25">
        <v>100</v>
      </c>
      <c r="H72" s="40" t="s">
        <v>329</v>
      </c>
    </row>
    <row r="73" spans="2:8" ht="19" customHeight="1">
      <c r="B73" s="41">
        <v>46319</v>
      </c>
      <c r="C73" s="33" t="s">
        <v>222</v>
      </c>
      <c r="D73" s="33" t="s">
        <v>268</v>
      </c>
      <c r="E73" s="22">
        <v>97</v>
      </c>
      <c r="F73" s="22">
        <v>9953</v>
      </c>
      <c r="G73" s="22">
        <v>30</v>
      </c>
      <c r="H73" s="38" t="s">
        <v>330</v>
      </c>
    </row>
    <row r="74" spans="2:8" ht="19" customHeight="1">
      <c r="B74" s="42">
        <v>46319</v>
      </c>
      <c r="C74" s="34" t="s">
        <v>26</v>
      </c>
      <c r="D74" s="34" t="s">
        <v>54</v>
      </c>
      <c r="E74" s="25">
        <v>66</v>
      </c>
      <c r="F74" s="25">
        <v>10019</v>
      </c>
      <c r="G74" s="25">
        <v>66</v>
      </c>
      <c r="H74" s="40" t="s">
        <v>331</v>
      </c>
    </row>
    <row r="75" spans="2:8" ht="19" customHeight="1">
      <c r="B75" s="41">
        <v>46319</v>
      </c>
      <c r="C75" s="33" t="s">
        <v>100</v>
      </c>
      <c r="D75" s="33" t="s">
        <v>104</v>
      </c>
      <c r="E75" s="22">
        <v>30</v>
      </c>
      <c r="F75" s="22">
        <v>10049</v>
      </c>
      <c r="G75" s="22">
        <v>20</v>
      </c>
      <c r="H75" s="38" t="s">
        <v>332</v>
      </c>
    </row>
    <row r="76" spans="2:8" ht="19" customHeight="1">
      <c r="B76" s="42">
        <v>46319</v>
      </c>
      <c r="C76" s="34" t="s">
        <v>100</v>
      </c>
      <c r="D76" s="34" t="s">
        <v>104</v>
      </c>
      <c r="E76" s="25">
        <v>25</v>
      </c>
      <c r="F76" s="25">
        <v>10074</v>
      </c>
      <c r="G76" s="25">
        <v>20</v>
      </c>
      <c r="H76" s="40" t="s">
        <v>333</v>
      </c>
    </row>
    <row r="77" spans="2:8" ht="19" customHeight="1">
      <c r="B77" s="41">
        <v>46319</v>
      </c>
      <c r="C77" s="33" t="s">
        <v>228</v>
      </c>
      <c r="D77" s="33" t="s">
        <v>334</v>
      </c>
      <c r="E77" s="22">
        <v>15</v>
      </c>
      <c r="F77" s="22">
        <v>10089</v>
      </c>
      <c r="G77" s="22">
        <v>15</v>
      </c>
      <c r="H77" s="38" t="s">
        <v>335</v>
      </c>
    </row>
    <row r="78" spans="2:8" ht="19" customHeight="1">
      <c r="B78" s="42">
        <v>46320</v>
      </c>
      <c r="C78" s="34" t="s">
        <v>228</v>
      </c>
      <c r="D78" s="34" t="s">
        <v>228</v>
      </c>
      <c r="E78" s="25">
        <v>15</v>
      </c>
      <c r="F78" s="25">
        <v>10104</v>
      </c>
      <c r="G78" s="25">
        <v>15</v>
      </c>
      <c r="H78" s="40" t="s">
        <v>336</v>
      </c>
    </row>
    <row r="79" spans="2:8" ht="19" customHeight="1">
      <c r="B79" s="41">
        <v>46320</v>
      </c>
      <c r="C79" s="33" t="s">
        <v>230</v>
      </c>
      <c r="D79" s="33" t="s">
        <v>337</v>
      </c>
      <c r="E79" s="22">
        <v>2</v>
      </c>
      <c r="F79" s="22">
        <v>10106</v>
      </c>
      <c r="G79" s="22">
        <v>1</v>
      </c>
      <c r="H79" s="38" t="s">
        <v>338</v>
      </c>
    </row>
    <row r="80" spans="2:8" ht="19" customHeight="1">
      <c r="B80" s="42">
        <v>46320</v>
      </c>
      <c r="C80" s="34" t="s">
        <v>230</v>
      </c>
      <c r="D80" s="34" t="s">
        <v>337</v>
      </c>
      <c r="E80" s="25">
        <v>1</v>
      </c>
      <c r="F80" s="25">
        <v>10107</v>
      </c>
      <c r="G80" s="25">
        <v>1</v>
      </c>
      <c r="H80" s="40" t="s">
        <v>339</v>
      </c>
    </row>
    <row r="81" spans="2:8" ht="19" customHeight="1">
      <c r="B81" s="41">
        <v>46320</v>
      </c>
      <c r="C81" s="33" t="s">
        <v>230</v>
      </c>
      <c r="D81" s="33" t="s">
        <v>337</v>
      </c>
      <c r="E81" s="22">
        <v>1</v>
      </c>
      <c r="F81" s="22">
        <v>10108</v>
      </c>
      <c r="G81" s="22">
        <v>1</v>
      </c>
      <c r="H81" s="38" t="s">
        <v>340</v>
      </c>
    </row>
    <row r="82" spans="2:8" ht="19" customHeight="1">
      <c r="B82" s="42">
        <v>46320</v>
      </c>
      <c r="C82" s="34" t="s">
        <v>230</v>
      </c>
      <c r="D82" s="34" t="s">
        <v>337</v>
      </c>
      <c r="E82" s="25">
        <v>1</v>
      </c>
      <c r="F82" s="25">
        <v>10109</v>
      </c>
      <c r="G82" s="25">
        <v>1</v>
      </c>
      <c r="H82" s="40" t="s">
        <v>341</v>
      </c>
    </row>
    <row r="83" spans="2:8" ht="19" customHeight="1">
      <c r="B83" s="41">
        <v>46320</v>
      </c>
      <c r="C83" s="33" t="s">
        <v>230</v>
      </c>
      <c r="D83" s="33" t="s">
        <v>337</v>
      </c>
      <c r="E83" s="22">
        <v>1</v>
      </c>
      <c r="F83" s="22">
        <v>10110</v>
      </c>
      <c r="G83" s="22">
        <v>1</v>
      </c>
      <c r="H83" s="38" t="s">
        <v>342</v>
      </c>
    </row>
    <row r="84" spans="2:8" ht="19" customHeight="1">
      <c r="B84" s="42">
        <v>46321</v>
      </c>
      <c r="C84" s="34" t="s">
        <v>110</v>
      </c>
      <c r="D84" s="34" t="s">
        <v>265</v>
      </c>
      <c r="E84" s="25">
        <v>225</v>
      </c>
      <c r="F84" s="25">
        <v>10335</v>
      </c>
      <c r="G84" s="25">
        <v>225</v>
      </c>
      <c r="H84" s="40" t="s">
        <v>343</v>
      </c>
    </row>
    <row r="85" spans="2:8" ht="19" customHeight="1">
      <c r="B85" s="41">
        <v>46321</v>
      </c>
      <c r="C85" s="33" t="s">
        <v>224</v>
      </c>
      <c r="D85" s="33" t="s">
        <v>309</v>
      </c>
      <c r="E85" s="22">
        <v>36</v>
      </c>
      <c r="F85" s="22">
        <v>10371</v>
      </c>
      <c r="G85" s="22">
        <v>9</v>
      </c>
      <c r="H85" s="38" t="s">
        <v>344</v>
      </c>
    </row>
    <row r="86" spans="2:8" ht="19" customHeight="1">
      <c r="B86" s="42">
        <v>46321</v>
      </c>
      <c r="C86" s="34" t="s">
        <v>100</v>
      </c>
      <c r="D86" s="34" t="s">
        <v>104</v>
      </c>
      <c r="E86" s="25">
        <v>25</v>
      </c>
      <c r="F86" s="25">
        <v>10396</v>
      </c>
      <c r="G86" s="25">
        <v>13</v>
      </c>
      <c r="H86" s="40" t="s">
        <v>345</v>
      </c>
    </row>
    <row r="87" spans="2:8" ht="19" customHeight="1">
      <c r="B87" s="41">
        <v>46321</v>
      </c>
      <c r="C87" s="33" t="s">
        <v>100</v>
      </c>
      <c r="D87" s="33" t="s">
        <v>104</v>
      </c>
      <c r="E87" s="22">
        <v>5</v>
      </c>
      <c r="F87" s="22">
        <v>10401</v>
      </c>
      <c r="G87" s="22">
        <v>2</v>
      </c>
      <c r="H87" s="38" t="s">
        <v>346</v>
      </c>
    </row>
    <row r="88" spans="2:8" ht="19" customHeight="1">
      <c r="B88" s="42">
        <v>46321</v>
      </c>
      <c r="C88" s="34" t="s">
        <v>100</v>
      </c>
      <c r="D88" s="34" t="s">
        <v>104</v>
      </c>
      <c r="E88" s="25">
        <v>5</v>
      </c>
      <c r="F88" s="25">
        <v>10406</v>
      </c>
      <c r="G88" s="25">
        <v>2</v>
      </c>
      <c r="H88" s="40" t="s">
        <v>347</v>
      </c>
    </row>
    <row r="89" spans="2:8" ht="19" customHeight="1">
      <c r="B89" s="41">
        <v>46321</v>
      </c>
      <c r="C89" s="33" t="s">
        <v>235</v>
      </c>
      <c r="D89" s="33" t="s">
        <v>348</v>
      </c>
      <c r="E89" s="22">
        <v>1</v>
      </c>
      <c r="F89" s="22">
        <v>10407</v>
      </c>
      <c r="G89" s="22">
        <v>1</v>
      </c>
      <c r="H89" s="38" t="s">
        <v>349</v>
      </c>
    </row>
    <row r="90" spans="2:8" ht="19" customHeight="1">
      <c r="B90" s="42">
        <v>46322</v>
      </c>
      <c r="C90" s="34" t="s">
        <v>222</v>
      </c>
      <c r="D90" s="34" t="s">
        <v>268</v>
      </c>
      <c r="E90" s="25">
        <v>200</v>
      </c>
      <c r="F90" s="25">
        <v>10607</v>
      </c>
      <c r="G90" s="25">
        <v>70</v>
      </c>
      <c r="H90" s="40" t="s">
        <v>350</v>
      </c>
    </row>
    <row r="91" spans="2:8" ht="22" customHeight="1">
      <c r="B91" s="27" t="s">
        <v>23</v>
      </c>
      <c r="C91" s="35"/>
      <c r="D91" s="35"/>
      <c r="E91" s="28">
        <f>SUM(E11:E90)</f>
        <v>10607</v>
      </c>
      <c r="F91" s="35"/>
      <c r="G91" s="28">
        <f>SUM(G11:G90)</f>
        <v>9761</v>
      </c>
      <c r="H91" s="35"/>
    </row>
  </sheetData>
  <autoFilter ref="B10:H90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34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351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27" customHeight="1">
      <c r="B7" s="6" t="s">
        <v>24</v>
      </c>
      <c r="C7" s="7"/>
      <c r="D7" s="7"/>
      <c r="E7" s="7"/>
      <c r="F7" s="8" t="s">
        <v>352</v>
      </c>
    </row>
    <row r="8" spans="1:7" ht="36" customHeight="1">
      <c r="B8" s="19" t="s">
        <v>25</v>
      </c>
      <c r="C8" s="20" t="s">
        <v>353</v>
      </c>
      <c r="D8" s="20" t="s">
        <v>354</v>
      </c>
      <c r="E8" s="20" t="s">
        <v>355</v>
      </c>
      <c r="F8" s="20" t="s">
        <v>356</v>
      </c>
    </row>
    <row r="9" spans="1:7" ht="19" customHeight="1">
      <c r="B9" s="21" t="s">
        <v>110</v>
      </c>
      <c r="C9" s="45">
        <v>0</v>
      </c>
      <c r="D9" s="45">
        <v>530</v>
      </c>
      <c r="E9" s="46">
        <v>0</v>
      </c>
      <c r="F9" s="46">
        <v>160558.2</v>
      </c>
    </row>
    <row r="10" spans="1:7" ht="19" customHeight="1">
      <c r="B10" s="24" t="s">
        <v>27</v>
      </c>
      <c r="C10" s="47">
        <v>0</v>
      </c>
      <c r="D10" s="47">
        <v>344</v>
      </c>
      <c r="E10" s="48">
        <v>0</v>
      </c>
      <c r="F10" s="48">
        <v>104246.01</v>
      </c>
    </row>
    <row r="11" spans="1:7" ht="19" customHeight="1">
      <c r="B11" s="21" t="s">
        <v>26</v>
      </c>
      <c r="C11" s="45">
        <v>0</v>
      </c>
      <c r="D11" s="45">
        <v>181</v>
      </c>
      <c r="E11" s="46">
        <v>0</v>
      </c>
      <c r="F11" s="46">
        <v>55022.19</v>
      </c>
    </row>
    <row r="12" spans="1:7" ht="19" customHeight="1">
      <c r="B12" s="24" t="s">
        <v>164</v>
      </c>
      <c r="C12" s="47">
        <v>0</v>
      </c>
      <c r="D12" s="47">
        <v>111</v>
      </c>
      <c r="E12" s="48">
        <v>0</v>
      </c>
      <c r="F12" s="48">
        <v>33641.04</v>
      </c>
    </row>
    <row r="13" spans="1:7" ht="19" customHeight="1">
      <c r="B13" s="21" t="s">
        <v>223</v>
      </c>
      <c r="C13" s="45">
        <v>0</v>
      </c>
      <c r="D13" s="45">
        <v>5</v>
      </c>
      <c r="E13" s="46">
        <v>0</v>
      </c>
      <c r="F13" s="46">
        <v>1519.95</v>
      </c>
    </row>
    <row r="14" spans="1:7" ht="22" customHeight="1">
      <c r="B14" s="27" t="s">
        <v>23</v>
      </c>
      <c r="C14" s="49" t="s">
        <v>58</v>
      </c>
      <c r="D14" s="50">
        <f>SUM(D9:D13)</f>
        <v>1171</v>
      </c>
      <c r="E14" s="49" t="s">
        <v>58</v>
      </c>
      <c r="F14" s="51">
        <f>SUM(F9:F13)</f>
        <v>354987.39</v>
      </c>
    </row>
    <row r="31" spans="2:6" ht="27" customHeight="1">
      <c r="B31" s="6" t="s">
        <v>357</v>
      </c>
      <c r="C31" s="7"/>
      <c r="D31" s="7"/>
      <c r="E31" s="7"/>
      <c r="F31" s="8" t="s">
        <v>358</v>
      </c>
    </row>
    <row r="32" spans="2:6" ht="30" customHeight="1">
      <c r="B32" s="52" t="s">
        <v>359</v>
      </c>
      <c r="C32" s="52"/>
      <c r="D32" s="53">
        <v>145523</v>
      </c>
      <c r="E32" s="54"/>
      <c r="F32" s="54"/>
    </row>
    <row r="33" spans="2:6" ht="30" customHeight="1">
      <c r="B33" s="52" t="s">
        <v>360</v>
      </c>
      <c r="C33" s="52"/>
      <c r="D33" s="53">
        <v>44098</v>
      </c>
      <c r="E33" s="54"/>
      <c r="F33" s="54"/>
    </row>
    <row r="34" spans="2:6" ht="30" customHeight="1">
      <c r="B34" s="52" t="s">
        <v>361</v>
      </c>
      <c r="C34" s="52"/>
      <c r="D34" s="55">
        <v>13405351.02</v>
      </c>
      <c r="E34" s="54"/>
      <c r="F34" s="54"/>
    </row>
  </sheetData>
  <mergeCells count="6">
    <mergeCell ref="B32:C32"/>
    <mergeCell ref="D32:F32"/>
    <mergeCell ref="B33:C33"/>
    <mergeCell ref="D33:F33"/>
    <mergeCell ref="B34:C34"/>
    <mergeCell ref="D34:F34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30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362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363</v>
      </c>
      <c r="C7" s="7"/>
      <c r="D7" s="7"/>
      <c r="E7" s="7"/>
      <c r="F7" s="7"/>
      <c r="G7" s="7"/>
      <c r="H7" s="8" t="s">
        <v>364</v>
      </c>
    </row>
    <row r="8" spans="1:9" ht="36" customHeight="1">
      <c r="B8" s="19" t="s">
        <v>25</v>
      </c>
      <c r="C8" s="32" t="s">
        <v>365</v>
      </c>
      <c r="D8" s="20" t="s">
        <v>219</v>
      </c>
      <c r="E8" s="20" t="s">
        <v>366</v>
      </c>
      <c r="F8" s="20" t="s">
        <v>355</v>
      </c>
      <c r="G8" s="20" t="s">
        <v>354</v>
      </c>
      <c r="H8" s="20" t="s">
        <v>356</v>
      </c>
    </row>
    <row r="9" spans="1:9" ht="21" customHeight="1">
      <c r="B9" s="21" t="s">
        <v>222</v>
      </c>
      <c r="C9" s="33" t="s">
        <v>367</v>
      </c>
      <c r="D9" s="45">
        <v>757</v>
      </c>
      <c r="E9" s="56" t="s">
        <v>58</v>
      </c>
      <c r="F9" s="56" t="s">
        <v>58</v>
      </c>
      <c r="G9" s="45">
        <v>0</v>
      </c>
      <c r="H9" s="46">
        <v>0</v>
      </c>
    </row>
    <row r="10" spans="1:9" ht="21" customHeight="1">
      <c r="B10" s="24" t="s">
        <v>225</v>
      </c>
      <c r="C10" s="34" t="s">
        <v>278</v>
      </c>
      <c r="D10" s="47">
        <v>141</v>
      </c>
      <c r="E10" s="57" t="s">
        <v>58</v>
      </c>
      <c r="F10" s="57" t="s">
        <v>58</v>
      </c>
      <c r="G10" s="47">
        <v>0</v>
      </c>
      <c r="H10" s="48">
        <v>0</v>
      </c>
    </row>
    <row r="11" spans="1:9" ht="21" customHeight="1">
      <c r="B11" s="21" t="s">
        <v>226</v>
      </c>
      <c r="C11" s="33" t="s">
        <v>368</v>
      </c>
      <c r="D11" s="45">
        <v>133</v>
      </c>
      <c r="E11" s="56" t="s">
        <v>58</v>
      </c>
      <c r="F11" s="56" t="s">
        <v>58</v>
      </c>
      <c r="G11" s="45">
        <v>0</v>
      </c>
      <c r="H11" s="46">
        <v>0</v>
      </c>
    </row>
    <row r="12" spans="1:9" ht="21" customHeight="1">
      <c r="B12" s="24" t="s">
        <v>235</v>
      </c>
      <c r="C12" s="34" t="s">
        <v>348</v>
      </c>
      <c r="D12" s="47">
        <v>1</v>
      </c>
      <c r="E12" s="57" t="s">
        <v>58</v>
      </c>
      <c r="F12" s="57" t="s">
        <v>58</v>
      </c>
      <c r="G12" s="47">
        <v>0</v>
      </c>
      <c r="H12" s="48">
        <v>0</v>
      </c>
    </row>
    <row r="13" spans="1:9" ht="21" customHeight="1">
      <c r="B13" s="21" t="s">
        <v>233</v>
      </c>
      <c r="C13" s="33" t="s">
        <v>248</v>
      </c>
      <c r="D13" s="45">
        <v>7</v>
      </c>
      <c r="E13" s="56" t="s">
        <v>58</v>
      </c>
      <c r="F13" s="56" t="s">
        <v>58</v>
      </c>
      <c r="G13" s="45">
        <v>0</v>
      </c>
      <c r="H13" s="46">
        <v>0</v>
      </c>
    </row>
    <row r="14" spans="1:9" ht="21" customHeight="1">
      <c r="B14" s="24" t="s">
        <v>26</v>
      </c>
      <c r="C14" s="34" t="s">
        <v>369</v>
      </c>
      <c r="D14" s="47">
        <v>66</v>
      </c>
      <c r="E14" s="57" t="s">
        <v>58</v>
      </c>
      <c r="F14" s="57" t="s">
        <v>58</v>
      </c>
      <c r="G14" s="47">
        <v>181</v>
      </c>
      <c r="H14" s="48">
        <v>55022.19</v>
      </c>
    </row>
    <row r="15" spans="1:9" ht="35" customHeight="1">
      <c r="B15" s="21" t="s">
        <v>110</v>
      </c>
      <c r="C15" s="33" t="s">
        <v>370</v>
      </c>
      <c r="D15" s="45">
        <v>3690</v>
      </c>
      <c r="E15" s="56" t="s">
        <v>58</v>
      </c>
      <c r="F15" s="56" t="s">
        <v>58</v>
      </c>
      <c r="G15" s="45">
        <v>530</v>
      </c>
      <c r="H15" s="46">
        <v>160558.2</v>
      </c>
    </row>
    <row r="16" spans="1:9" ht="21" customHeight="1">
      <c r="B16" s="24" t="s">
        <v>27</v>
      </c>
      <c r="C16" s="34" t="s">
        <v>371</v>
      </c>
      <c r="D16" s="47">
        <v>4650</v>
      </c>
      <c r="E16" s="57" t="s">
        <v>58</v>
      </c>
      <c r="F16" s="57" t="s">
        <v>58</v>
      </c>
      <c r="G16" s="47">
        <v>344</v>
      </c>
      <c r="H16" s="48">
        <v>104246.01</v>
      </c>
    </row>
    <row r="17" spans="2:8" ht="21" customHeight="1">
      <c r="B17" s="21" t="s">
        <v>223</v>
      </c>
      <c r="C17" s="33" t="s">
        <v>263</v>
      </c>
      <c r="D17" s="45">
        <v>498</v>
      </c>
      <c r="E17" s="56" t="s">
        <v>58</v>
      </c>
      <c r="F17" s="56" t="s">
        <v>58</v>
      </c>
      <c r="G17" s="45">
        <v>5</v>
      </c>
      <c r="H17" s="46">
        <v>1519.95</v>
      </c>
    </row>
    <row r="18" spans="2:8" ht="21" customHeight="1">
      <c r="B18" s="24" t="s">
        <v>228</v>
      </c>
      <c r="C18" s="34" t="s">
        <v>372</v>
      </c>
      <c r="D18" s="47">
        <v>79</v>
      </c>
      <c r="E18" s="57" t="s">
        <v>58</v>
      </c>
      <c r="F18" s="57" t="s">
        <v>58</v>
      </c>
      <c r="G18" s="47">
        <v>0</v>
      </c>
      <c r="H18" s="48">
        <v>0</v>
      </c>
    </row>
    <row r="19" spans="2:8" ht="21" customHeight="1">
      <c r="B19" s="21" t="s">
        <v>164</v>
      </c>
      <c r="C19" s="33" t="s">
        <v>165</v>
      </c>
      <c r="D19" s="45">
        <v>64</v>
      </c>
      <c r="E19" s="56" t="s">
        <v>58</v>
      </c>
      <c r="F19" s="56" t="s">
        <v>58</v>
      </c>
      <c r="G19" s="45">
        <v>111</v>
      </c>
      <c r="H19" s="46">
        <v>33641.04</v>
      </c>
    </row>
    <row r="20" spans="2:8" ht="35" customHeight="1">
      <c r="B20" s="24" t="s">
        <v>100</v>
      </c>
      <c r="C20" s="34" t="s">
        <v>373</v>
      </c>
      <c r="D20" s="47">
        <v>110</v>
      </c>
      <c r="E20" s="57" t="s">
        <v>58</v>
      </c>
      <c r="F20" s="57" t="s">
        <v>58</v>
      </c>
      <c r="G20" s="47">
        <v>0</v>
      </c>
      <c r="H20" s="48">
        <v>0</v>
      </c>
    </row>
    <row r="21" spans="2:8" ht="21" customHeight="1">
      <c r="B21" s="21" t="s">
        <v>227</v>
      </c>
      <c r="C21" s="33" t="s">
        <v>374</v>
      </c>
      <c r="D21" s="45">
        <v>120</v>
      </c>
      <c r="E21" s="56" t="s">
        <v>58</v>
      </c>
      <c r="F21" s="56" t="s">
        <v>58</v>
      </c>
      <c r="G21" s="45">
        <v>0</v>
      </c>
      <c r="H21" s="46">
        <v>0</v>
      </c>
    </row>
    <row r="22" spans="2:8" ht="21" customHeight="1">
      <c r="B22" s="24" t="s">
        <v>224</v>
      </c>
      <c r="C22" s="34" t="s">
        <v>375</v>
      </c>
      <c r="D22" s="47">
        <v>180</v>
      </c>
      <c r="E22" s="57" t="s">
        <v>58</v>
      </c>
      <c r="F22" s="57" t="s">
        <v>58</v>
      </c>
      <c r="G22" s="47">
        <v>0</v>
      </c>
      <c r="H22" s="48">
        <v>0</v>
      </c>
    </row>
    <row r="23" spans="2:8" ht="21" customHeight="1">
      <c r="B23" s="21" t="s">
        <v>232</v>
      </c>
      <c r="C23" s="33" t="s">
        <v>376</v>
      </c>
      <c r="D23" s="45">
        <v>7</v>
      </c>
      <c r="E23" s="56" t="s">
        <v>58</v>
      </c>
      <c r="F23" s="56" t="s">
        <v>58</v>
      </c>
      <c r="G23" s="45">
        <v>0</v>
      </c>
      <c r="H23" s="46">
        <v>0</v>
      </c>
    </row>
    <row r="24" spans="2:8" ht="35" customHeight="1">
      <c r="B24" s="24" t="s">
        <v>230</v>
      </c>
      <c r="C24" s="34" t="s">
        <v>377</v>
      </c>
      <c r="D24" s="47">
        <v>17</v>
      </c>
      <c r="E24" s="57" t="s">
        <v>58</v>
      </c>
      <c r="F24" s="57" t="s">
        <v>58</v>
      </c>
      <c r="G24" s="47">
        <v>0</v>
      </c>
      <c r="H24" s="48">
        <v>0</v>
      </c>
    </row>
    <row r="25" spans="2:8" ht="21" customHeight="1">
      <c r="B25" s="21" t="s">
        <v>28</v>
      </c>
      <c r="C25" s="33" t="s">
        <v>378</v>
      </c>
      <c r="D25" s="45">
        <v>10</v>
      </c>
      <c r="E25" s="56" t="s">
        <v>58</v>
      </c>
      <c r="F25" s="56" t="s">
        <v>58</v>
      </c>
      <c r="G25" s="45">
        <v>0</v>
      </c>
      <c r="H25" s="46">
        <v>0</v>
      </c>
    </row>
    <row r="26" spans="2:8" ht="21" customHeight="1">
      <c r="B26" s="24" t="s">
        <v>93</v>
      </c>
      <c r="C26" s="34" t="s">
        <v>94</v>
      </c>
      <c r="D26" s="47">
        <v>17</v>
      </c>
      <c r="E26" s="57" t="s">
        <v>58</v>
      </c>
      <c r="F26" s="57" t="s">
        <v>58</v>
      </c>
      <c r="G26" s="47">
        <v>0</v>
      </c>
      <c r="H26" s="48">
        <v>0</v>
      </c>
    </row>
    <row r="27" spans="2:8" ht="21" customHeight="1">
      <c r="B27" s="21" t="s">
        <v>229</v>
      </c>
      <c r="C27" s="33" t="s">
        <v>301</v>
      </c>
      <c r="D27" s="45">
        <v>44</v>
      </c>
      <c r="E27" s="56" t="s">
        <v>58</v>
      </c>
      <c r="F27" s="56" t="s">
        <v>58</v>
      </c>
      <c r="G27" s="45">
        <v>0</v>
      </c>
      <c r="H27" s="46">
        <v>0</v>
      </c>
    </row>
    <row r="28" spans="2:8" ht="21" customHeight="1">
      <c r="B28" s="24" t="s">
        <v>234</v>
      </c>
      <c r="C28" s="34" t="s">
        <v>258</v>
      </c>
      <c r="D28" s="47">
        <v>5</v>
      </c>
      <c r="E28" s="57" t="s">
        <v>58</v>
      </c>
      <c r="F28" s="57" t="s">
        <v>58</v>
      </c>
      <c r="G28" s="47">
        <v>0</v>
      </c>
      <c r="H28" s="48">
        <v>0</v>
      </c>
    </row>
    <row r="29" spans="2:8" ht="21" customHeight="1">
      <c r="B29" s="21" t="s">
        <v>231</v>
      </c>
      <c r="C29" s="33" t="s">
        <v>379</v>
      </c>
      <c r="D29" s="45">
        <v>11</v>
      </c>
      <c r="E29" s="56" t="s">
        <v>58</v>
      </c>
      <c r="F29" s="56" t="s">
        <v>58</v>
      </c>
      <c r="G29" s="45">
        <v>0</v>
      </c>
      <c r="H29" s="46">
        <v>0</v>
      </c>
    </row>
    <row r="30" spans="2:8" ht="22" customHeight="1">
      <c r="B30" s="27" t="s">
        <v>23</v>
      </c>
      <c r="C30" s="35"/>
      <c r="D30" s="50">
        <f>SUM(D9:D29)</f>
        <v>10607</v>
      </c>
      <c r="E30" s="49" t="s">
        <v>58</v>
      </c>
      <c r="F30" s="49" t="s">
        <v>58</v>
      </c>
      <c r="G30" s="50">
        <f>SUM(G9:G29)</f>
        <v>1171</v>
      </c>
      <c r="H30" s="51">
        <f>SUM(H9:H29)</f>
        <v>354987.39</v>
      </c>
    </row>
  </sheetData>
  <autoFilter ref="B8:H29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380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8" t="s">
        <v>381</v>
      </c>
      <c r="C6" s="59" t="s">
        <v>4</v>
      </c>
    </row>
    <row r="7" spans="1:4" ht="32" customHeight="1">
      <c r="B7" s="58" t="s">
        <v>382</v>
      </c>
      <c r="C7" s="59" t="s">
        <v>383</v>
      </c>
    </row>
    <row r="8" spans="1:4" ht="32" customHeight="1">
      <c r="B8" s="58" t="s">
        <v>384</v>
      </c>
      <c r="C8" s="59" t="s">
        <v>385</v>
      </c>
    </row>
    <row r="9" spans="1:4" ht="42" customHeight="1">
      <c r="B9" s="58" t="s">
        <v>386</v>
      </c>
      <c r="C9" s="59" t="s">
        <v>387</v>
      </c>
    </row>
    <row r="10" spans="1:4" ht="32" customHeight="1">
      <c r="B10" s="58" t="s">
        <v>388</v>
      </c>
      <c r="C10" s="59" t="s">
        <v>33</v>
      </c>
    </row>
    <row r="11" spans="1:4" ht="32" customHeight="1">
      <c r="B11" s="58" t="s">
        <v>389</v>
      </c>
      <c r="C11" s="60" t="s">
        <v>390</v>
      </c>
    </row>
    <row r="12" spans="1:4" ht="42" customHeight="1">
      <c r="B12" s="58" t="s">
        <v>391</v>
      </c>
      <c r="C12" s="59" t="s">
        <v>38</v>
      </c>
    </row>
    <row r="13" spans="1:4" ht="72" customHeight="1">
      <c r="B13" s="58" t="s">
        <v>392</v>
      </c>
      <c r="C13" s="59" t="s">
        <v>393</v>
      </c>
    </row>
    <row r="14" spans="1:4" ht="57" customHeight="1">
      <c r="B14" s="58" t="s">
        <v>219</v>
      </c>
      <c r="C14" s="59" t="s">
        <v>239</v>
      </c>
    </row>
    <row r="15" spans="1:4" ht="57" customHeight="1">
      <c r="B15" s="58" t="s">
        <v>351</v>
      </c>
      <c r="C15" s="59" t="s">
        <v>394</v>
      </c>
    </row>
    <row r="16" spans="1:4" ht="57" customHeight="1">
      <c r="B16" s="58" t="s">
        <v>395</v>
      </c>
      <c r="C16" s="59" t="s">
        <v>396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28/09/2026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</dc:title>
  <dc:subject>Riesgos · Del 28/09/2026 al 27/10/2026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2026-10-27T16:42:54Z</dcterms:created>
  <dcterms:modified xsi:type="dcterms:W3CDTF">2026-10-27T16:42:54Z</dcterms:modified>
  <cp:category>Indicadores estratégicos</cp:category>
</cp:coreProperties>
</file>