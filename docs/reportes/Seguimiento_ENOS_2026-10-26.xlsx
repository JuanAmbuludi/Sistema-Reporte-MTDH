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Evolución" sheetId="2" r:id="rId2"/>
    <sheet name="Alertas" sheetId="3" r:id="rId3"/>
    <sheet name="Provincias" sheetId="4" r:id="rId4"/>
    <sheet name="Kits y bono" sheetId="5" r:id="rId5"/>
    <sheet name="Ficha técnica" sheetId="6" r:id="rId6"/>
  </sheets>
  <definedNames>
    <definedName name="_xlnm._FilterDatabase" localSheetId="2" hidden="1">Alertas!$B$7:$K$17</definedName>
    <definedName name="_xlnm._FilterDatabase" localSheetId="1" hidden="1">Evolución!$B$7:$D$50</definedName>
    <definedName name="_xlnm.Print_Area" localSheetId="5">'Ficha técnica'!$A$1:$D$17</definedName>
    <definedName name="_xlnm.Print_Area" localSheetId="0">Resumen!$A$1:$N$98</definedName>
  </definedNames>
  <calcPr calcId="124519" fullCalcOnLoad="1"/>
</workbook>
</file>

<file path=xl/sharedStrings.xml><?xml version="1.0" encoding="utf-8"?>
<sst xmlns="http://schemas.openxmlformats.org/spreadsheetml/2006/main" count="280" uniqueCount="174">
  <si>
    <t>Riesgos · Respuesta del Ministerio</t>
  </si>
  <si>
    <t>Del 14/09/2026 al 26/10/2026 · Nacional · Todos los servicios</t>
  </si>
  <si>
    <t>Respuesta al 26/10/2026</t>
  </si>
  <si>
    <t>Cifras clave</t>
  </si>
  <si>
    <t>Del 14/09/2026 al 26/10/2026</t>
  </si>
  <si>
    <t>Alertas con código UA</t>
  </si>
  <si>
    <t>Registros distintos · desde 14/09/2026</t>
  </si>
  <si>
    <t>Kits entregados</t>
  </si>
  <si>
    <t>4 provincias priorizadas · 24 y 25/10</t>
  </si>
  <si>
    <t>Núcleos con bono gestionado</t>
  </si>
  <si>
    <t>Por inundaciones · gestión del bono</t>
  </si>
  <si>
    <t>Monto de bonos gestionados</t>
  </si>
  <si>
    <t>Corte del bono: 23/10/2026</t>
  </si>
  <si>
    <t>Alertas por provincia</t>
  </si>
  <si>
    <t>Categoría</t>
  </si>
  <si>
    <t>Alertas</t>
  </si>
  <si>
    <t>Guayas</t>
  </si>
  <si>
    <t>El Oro</t>
  </si>
  <si>
    <t>Manabí</t>
  </si>
  <si>
    <t>Alertas por servicio</t>
  </si>
  <si>
    <t>Desarrollo Infantil</t>
  </si>
  <si>
    <t>Creciendo con Nuestros Hijos (CNH)</t>
  </si>
  <si>
    <t>Kits en provincias priorizadas</t>
  </si>
  <si>
    <t>Aspectos destacados</t>
  </si>
  <si>
    <t>10 alertas con 10 códigos UA distintos: 8 Desarrollo Infantil; 2 Creciendo con Nuestros Hijos (CNH). 8 con afectación documentada y 2 por confirmar. Se excluyen los registros sin código UA; el código por sí solo no confirma una afectación.</t>
  </si>
  <si>
    <t>802 kits en 4 provincias priorizadas; corte 25/10/2026.</t>
  </si>
  <si>
    <t>113 núcleos con bono gestionado: USD 33.200,80.</t>
  </si>
  <si>
    <t>Evolución de las alertas</t>
  </si>
  <si>
    <t>Desde 14/09/2026</t>
  </si>
  <si>
    <t>Fecha</t>
  </si>
  <si>
    <t>Registradas en el día</t>
  </si>
  <si>
    <t>Acumuladas</t>
  </si>
  <si>
    <t>14/09/2026</t>
  </si>
  <si>
    <t>15/09/2026</t>
  </si>
  <si>
    <t>16/09/2026</t>
  </si>
  <si>
    <t>17/09/2026</t>
  </si>
  <si>
    <t>18/09/2026</t>
  </si>
  <si>
    <t>19/09/2026</t>
  </si>
  <si>
    <t>20/09/2026</t>
  </si>
  <si>
    <t>21/09/2026</t>
  </si>
  <si>
    <t>22/09/2026</t>
  </si>
  <si>
    <t>23/09/2026</t>
  </si>
  <si>
    <t>24/09/2026</t>
  </si>
  <si>
    <t>25/09/2026</t>
  </si>
  <si>
    <t>26/09/2026</t>
  </si>
  <si>
    <t>27/09/2026</t>
  </si>
  <si>
    <t>28/09/2026</t>
  </si>
  <si>
    <t>29/09/2026</t>
  </si>
  <si>
    <t>30/09/2026</t>
  </si>
  <si>
    <t>01/10/2026</t>
  </si>
  <si>
    <t>02/10/2026</t>
  </si>
  <si>
    <t>03/10/2026</t>
  </si>
  <si>
    <t>04/10/2026</t>
  </si>
  <si>
    <t>05/10/2026</t>
  </si>
  <si>
    <t>06/10/2026</t>
  </si>
  <si>
    <t>07/10/2026</t>
  </si>
  <si>
    <t>08/10/2026</t>
  </si>
  <si>
    <t>09/10/2026</t>
  </si>
  <si>
    <t>10/10/2026</t>
  </si>
  <si>
    <t>11/10/2026</t>
  </si>
  <si>
    <t>12/10/2026</t>
  </si>
  <si>
    <t>13/10/2026</t>
  </si>
  <si>
    <t>14/10/2026</t>
  </si>
  <si>
    <t>15/10/2026</t>
  </si>
  <si>
    <t>16/10/2026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</si>
  <si>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</si>
  <si>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</si>
  <si>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</si>
  <si>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</si>
  <si>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</si>
  <si>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</si>
  <si>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</si>
  <si>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</si>
  <si>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</si>
  <si>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</si>
  <si>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Detalle completo</t>
  </si>
  <si>
    <t>Alerta</t>
  </si>
  <si>
    <t>Fecha de registro</t>
  </si>
  <si>
    <t>Provincia</t>
  </si>
  <si>
    <t>Cantón</t>
  </si>
  <si>
    <t>Código UA</t>
  </si>
  <si>
    <t>Unidad</t>
  </si>
  <si>
    <t>Servicio</t>
  </si>
  <si>
    <t>Afectación</t>
  </si>
  <si>
    <t>Estado</t>
  </si>
  <si>
    <t>Prioridad</t>
  </si>
  <si>
    <t>ALT-2026-000325</t>
  </si>
  <si>
    <t>Milagro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</si>
  <si>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</si>
  <si>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</si>
  <si>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</si>
  <si>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</si>
  <si>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</si>
  <si>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</si>
  <si>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</si>
  <si>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</si>
  <si>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</si>
  <si>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</si>
  <si>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</si>
  <si>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</si>
  <si>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</si>
  <si>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</si>
  <si>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</si>
  <si>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</si>
  <si>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</si>
  <si>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</si>
  <si>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</si>
  <si>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60221</t>
  </si>
  <si>
    <t>CENTRO DE DESARROLLO INFANTIL ESTRELLITA DE MAR</t>
  </si>
  <si>
    <t>Ingreso de agua; cambio temporal a modalidad virtual</t>
  </si>
  <si>
    <t>En seguimiento</t>
  </si>
  <si>
    <t>ALT-2026-000318</t>
  </si>
  <si>
    <t>60220</t>
  </si>
  <si>
    <t>CENTRO DE DESARROLLO INFANTIL SUPER NIÑO</t>
  </si>
  <si>
    <t>ALT-2026-000316</t>
  </si>
  <si>
    <t>Guayaquil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</si>
  <si>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</si>
  <si>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</si>
  <si>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</si>
  <si>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</si>
  <si>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</si>
  <si>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</si>
  <si>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</si>
  <si>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</si>
  <si>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</si>
  <si>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</si>
  <si>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</si>
  <si>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</si>
  <si>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</si>
  <si>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</si>
  <si>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Acciones del Ministerio en cada provincia</t>
  </si>
  <si>
    <t>Kits y bono de contingencia</t>
  </si>
  <si>
    <t>Cantones</t>
  </si>
  <si>
    <t>Kits</t>
  </si>
  <si>
    <t>Bono gestionado (núcleos)</t>
  </si>
  <si>
    <t>Monto gestionado (USD)</t>
  </si>
  <si>
    <t>En articulación (personas)</t>
  </si>
  <si>
    <t>Monto en articulación (USD)</t>
  </si>
  <si>
    <t>Azuay</t>
  </si>
  <si>
    <t>Cuenca</t>
  </si>
  <si>
    <t>Esmeraldas</t>
  </si>
  <si>
    <t>Guayaquil, Milagro, Palestina</t>
  </si>
  <si>
    <t>Imbabura</t>
  </si>
  <si>
    <t>Los Ríos</t>
  </si>
  <si>
    <t>Flavio Alfaro, Portoviejo</t>
  </si>
  <si>
    <t>Total de la selección</t>
  </si>
  <si>
    <t>Kits y planificación del bono</t>
  </si>
  <si>
    <t>Kits entregados en provincias priorizadas</t>
  </si>
  <si>
    <t>Kits entregados en provincias priorizadas el 24–25/10/2026; corte 25/10, 19:00. No es el acumulado desde el 14/09.</t>
  </si>
  <si>
    <t>Palestina</t>
  </si>
  <si>
    <t>Portoviejo</t>
  </si>
  <si>
    <t>Planificación El Niño 2026–2027</t>
  </si>
  <si>
    <t>Proyección nacional; planificación, no ejecución</t>
  </si>
  <si>
    <t>Personas potenciales</t>
  </si>
  <si>
    <t>Núcleos familiares potenciales</t>
  </si>
  <si>
    <t>Inversión estimada (USD)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</si>
  <si>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</si>
  <si>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</si>
  <si>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</si>
  <si>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</si>
  <si>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</si>
  <si>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</si>
  <si>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</si>
  <si>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reporte ministerial de kits; ayuda memoria del bono de contingencia.</t>
  </si>
  <si>
    <t>Conteo</t>
  </si>
  <si>
    <t>Geoportal</t>
  </si>
  <si>
    <t>https://geoportal.trabajo.gob.ec/ua_amenazas</t>
  </si>
  <si>
    <t>Se muestran únicamente alertas revisadas con código UA registrado, desde el 14 de septiembre de 2026. El conteo corresponde a códigos de alerta distintos vinculados a unidades identificadas; tener código UA no confirma afectación al servicio. Los registros sin código quedan fuera de este alcance. La fecha corresponde al registro y una alerta no equivale necesariamente a un evento único. El campo Afectados mezcla personas, familias y usuarios; no se suma como personas únicas. La base no certifica atribución causal a ENOS.</t>
  </si>
  <si>
    <t>Revisión de alertas</t>
  </si>
  <si>
    <t>En el corte nacional hay 10 alertas con 10 códigos UA distintos: 8 con afectación documentada y 2 por confirmar. ALT-2026-000315 y ALT-2026-000316 (Tenguel) tienen código UA, pero el relato solo describe inundación territorial; no se presentan como daños confirmados al servicio.</t>
  </si>
  <si>
    <t>Bono de contingencia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</si>
  <si>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</si>
  <si>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</si>
  <si>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solo a las alertas según la UA registrada. Kits y bono no se asocian a un servicio. La planificación del bono es nacional.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</si>
</sst>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&quot;USD &quot;#,##0.00"/>
    <numFmt numFmtId="166" formatCode="#,##0.00"/>
  </numFmts>
  <fonts count="16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EBE5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" fillId="4" borderId="7" xfId="0" applyFont="1" applyFill="1" applyBorder="1" applyAlignment="1">
      <alignment horizontal="left" vertical="center" indent="1" wrapText="1"/>
    </xf>
    <xf numFmtId="166" fontId="12" fillId="5" borderId="7" xfId="0" applyNumberFormat="1" applyFont="1" applyFill="1" applyBorder="1" applyAlignment="1">
      <alignment horizontal="right" vertical="center"/>
    </xf>
    <xf numFmtId="166" fontId="12" fillId="4" borderId="7" xfId="0" applyNumberFormat="1" applyFont="1" applyFill="1" applyBorder="1" applyAlignment="1">
      <alignment horizontal="right" vertical="center"/>
    </xf>
    <xf numFmtId="0" fontId="11" fillId="7" borderId="8" xfId="0" applyFont="1" applyFill="1" applyBorder="1" applyAlignment="1">
      <alignment horizontal="left" vertical="center" indent="1"/>
    </xf>
    <xf numFmtId="0" fontId="1" fillId="7" borderId="8" xfId="0" applyFont="1" applyFill="1" applyBorder="1" applyAlignment="1">
      <alignment vertical="center"/>
    </xf>
    <xf numFmtId="164" fontId="13" fillId="7" borderId="9" xfId="0" applyNumberFormat="1" applyFont="1" applyFill="1" applyBorder="1" applyAlignment="1">
      <alignment horizontal="right" vertical="center"/>
    </xf>
    <xf numFmtId="166" fontId="13" fillId="7" borderId="9" xfId="0" applyNumberFormat="1" applyFont="1" applyFill="1" applyBorder="1" applyAlignment="1">
      <alignment horizontal="right" vertical="center"/>
    </xf>
    <xf numFmtId="0" fontId="10" fillId="2" borderId="0" xfId="0" applyFont="1" applyFill="1" applyAlignment="1">
      <alignment horizontal="right" vertical="center" wrapText="1"/>
    </xf>
    <xf numFmtId="164" fontId="13" fillId="5" borderId="7" xfId="0" applyNumberFormat="1" applyFont="1" applyFill="1" applyBorder="1" applyAlignment="1">
      <alignment horizontal="right" vertical="center"/>
    </xf>
    <xf numFmtId="0" fontId="14" fillId="6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Resumen!$B$17:$B$19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Resumen!$C$17:$C$19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Resumen!$B$37:$B$38</c:f>
              <c:strCache>
                <c:ptCount val="2"/>
                <c:pt idx="0">
                  <c:v>Desarrollo Infantil</c:v>
                </c:pt>
                <c:pt idx="1">
                  <c:v>Creciendo con Nuestros Hijos (CNH)</c:v>
                </c:pt>
              </c:strCache>
            </c:strRef>
          </c:cat>
          <c:val>
            <c:numRef>
              <c:f>Resumen!$C$37:$C$38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gapWidth val="55"/>
        <c:axId val="50020001"/>
        <c:axId val="50020002"/>
      </c:barChart>
      <c:catAx>
        <c:axId val="5002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Evolución de las alertas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Registradas en el día</c:v>
          </c:tx>
          <c:spPr>
            <a:ln>
              <a:solidFill>
                <a:srgbClr val="F8C018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Evolución!$C$8:$C$50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ser>
          <c:idx val="1"/>
          <c:order val="1"/>
          <c:tx>
            <c:v>Acumuladas</c:v>
          </c:tx>
          <c:spPr>
            <a:ln>
              <a:solidFill>
                <a:srgbClr val="512F8D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Evolución!$D$8:$D$50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53</xdr:row>
      <xdr:rowOff>0</xdr:rowOff>
    </xdr:from>
    <xdr:to>
      <xdr:col>5</xdr:col>
      <xdr:colOff>457200</xdr:colOff>
      <xdr:row>67</xdr:row>
      <xdr:rowOff>83344</xdr:rowOff>
    </xdr:to>
    <xdr:pic>
      <xdr:nvPicPr>
        <xdr:cNvPr id="3" name="Picture 2" descr="Alertas por provinc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2220575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72</xdr:row>
      <xdr:rowOff>0</xdr:rowOff>
    </xdr:from>
    <xdr:to>
      <xdr:col>5</xdr:col>
      <xdr:colOff>457200</xdr:colOff>
      <xdr:row>86</xdr:row>
      <xdr:rowOff>83344</xdr:rowOff>
    </xdr:to>
    <xdr:pic>
      <xdr:nvPicPr>
        <xdr:cNvPr id="4" name="Picture 3" descr="Kits en provincias prioriza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550" y="15992475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91</xdr:row>
      <xdr:rowOff>95250</xdr:rowOff>
    </xdr:from>
    <xdr:to>
      <xdr:col>1</xdr:col>
      <xdr:colOff>533400</xdr:colOff>
      <xdr:row>91</xdr:row>
      <xdr:rowOff>342900</xdr:rowOff>
    </xdr:to>
    <xdr:pic>
      <xdr:nvPicPr>
        <xdr:cNvPr id="5" name="Picture 4" descr="icono_shield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198596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93</xdr:row>
      <xdr:rowOff>95250</xdr:rowOff>
    </xdr:from>
    <xdr:to>
      <xdr:col>1</xdr:col>
      <xdr:colOff>533400</xdr:colOff>
      <xdr:row>93</xdr:row>
      <xdr:rowOff>342900</xdr:rowOff>
    </xdr:to>
    <xdr:pic>
      <xdr:nvPicPr>
        <xdr:cNvPr id="6" name="Picture 5" descr="icono_life-buoy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203644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95</xdr:row>
      <xdr:rowOff>95250</xdr:rowOff>
    </xdr:from>
    <xdr:to>
      <xdr:col>1</xdr:col>
      <xdr:colOff>533400</xdr:colOff>
      <xdr:row>95</xdr:row>
      <xdr:rowOff>342900</xdr:rowOff>
    </xdr:to>
    <xdr:pic>
      <xdr:nvPicPr>
        <xdr:cNvPr id="7" name="Picture 6" descr="icono_hand-coin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2086927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19</xdr:row>
      <xdr:rowOff>0</xdr:rowOff>
    </xdr:from>
    <xdr:to>
      <xdr:col>8</xdr:col>
      <xdr:colOff>657225</xdr:colOff>
      <xdr:row>30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8</xdr:col>
      <xdr:colOff>657225</xdr:colOff>
      <xdr:row>49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1104900</xdr:colOff>
      <xdr:row>1</xdr:row>
      <xdr:rowOff>19050</xdr:rowOff>
    </xdr:from>
    <xdr:to>
      <xdr:col>3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89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50</xdr:row>
      <xdr:rowOff>0</xdr:rowOff>
    </xdr:from>
    <xdr:to>
      <xdr:col>9</xdr:col>
      <xdr:colOff>28575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438150</xdr:colOff>
      <xdr:row>1</xdr:row>
      <xdr:rowOff>19050</xdr:rowOff>
    </xdr:from>
    <xdr:to>
      <xdr:col>10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977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1238250</xdr:colOff>
      <xdr:row>1</xdr:row>
      <xdr:rowOff>19050</xdr:rowOff>
    </xdr:from>
    <xdr:to>
      <xdr:col>7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71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1971675</xdr:colOff>
      <xdr:row>1</xdr:row>
      <xdr:rowOff>19050</xdr:rowOff>
    </xdr:from>
    <xdr:to>
      <xdr:col>4</xdr:col>
      <xdr:colOff>1779104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03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97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10</v>
      </c>
      <c r="C10" s="14"/>
      <c r="D10" s="14"/>
      <c r="E10" s="13">
        <v>802</v>
      </c>
      <c r="F10" s="14"/>
      <c r="G10" s="14"/>
      <c r="H10" s="13">
        <v>113</v>
      </c>
      <c r="I10" s="14"/>
      <c r="J10" s="14"/>
      <c r="K10" s="15">
        <v>33200.8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6" t="s">
        <v>6</v>
      </c>
      <c r="C12" s="16"/>
      <c r="D12" s="16"/>
      <c r="E12" s="16" t="s">
        <v>8</v>
      </c>
      <c r="F12" s="16"/>
      <c r="G12" s="16"/>
      <c r="H12" s="16" t="s">
        <v>10</v>
      </c>
      <c r="I12" s="16"/>
      <c r="J12" s="16"/>
      <c r="K12" s="16" t="s">
        <v>12</v>
      </c>
      <c r="L12" s="16"/>
      <c r="M12" s="16"/>
    </row>
    <row r="15" spans="1:14" ht="27" customHeight="1">
      <c r="B15" s="6" t="s">
        <v>13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4" ht="36" customHeight="1">
      <c r="B16" s="17" t="s">
        <v>14</v>
      </c>
      <c r="C16" s="18" t="s">
        <v>15</v>
      </c>
    </row>
    <row r="17" spans="2:3" ht="19" customHeight="1">
      <c r="B17" s="19" t="s">
        <v>16</v>
      </c>
      <c r="C17" s="20">
        <v>6</v>
      </c>
    </row>
    <row r="18" spans="2:3" ht="19" customHeight="1">
      <c r="B18" s="21" t="s">
        <v>17</v>
      </c>
      <c r="C18" s="22">
        <v>2</v>
      </c>
    </row>
    <row r="19" spans="2:3" ht="19" customHeight="1">
      <c r="B19" s="19" t="s">
        <v>18</v>
      </c>
      <c r="C19" s="20">
        <v>2</v>
      </c>
    </row>
    <row r="35" spans="2:13" ht="27" customHeight="1">
      <c r="B35" s="6" t="s">
        <v>19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</row>
    <row r="36" spans="2:13" ht="36" customHeight="1">
      <c r="B36" s="17" t="s">
        <v>14</v>
      </c>
      <c r="C36" s="18" t="s">
        <v>15</v>
      </c>
    </row>
    <row r="37" spans="2:13" ht="19" customHeight="1">
      <c r="B37" s="19" t="s">
        <v>20</v>
      </c>
      <c r="C37" s="20">
        <v>8</v>
      </c>
    </row>
    <row r="38" spans="2:13" ht="19" customHeight="1">
      <c r="B38" s="21" t="s">
        <v>21</v>
      </c>
      <c r="C38" s="22">
        <v>2</v>
      </c>
    </row>
    <row r="53" spans="2:13" ht="27" customHeight="1">
      <c r="B53" s="6" t="s">
        <v>13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72" spans="2:13" ht="27" customHeight="1">
      <c r="B72" s="6" t="s">
        <v>22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</row>
    <row r="91" spans="2:13" ht="27" customHeight="1">
      <c r="B91" s="6" t="s">
        <v>23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</row>
    <row r="92" spans="2:13" ht="34" customHeight="1">
      <c r="B92" s="23"/>
      <c r="C92" s="24" t="s">
        <v>24</v>
      </c>
      <c r="D92" s="24"/>
      <c r="E92" s="24"/>
      <c r="F92" s="24"/>
      <c r="G92" s="24"/>
      <c r="H92" s="24"/>
      <c r="I92" s="24"/>
      <c r="J92" s="24"/>
      <c r="K92" s="24"/>
      <c r="L92" s="24"/>
      <c r="M92" s="24"/>
    </row>
    <row r="93" spans="2:13" ht="6" customHeight="1"/>
    <row r="94" spans="2:13" ht="34" customHeight="1">
      <c r="B94" s="23"/>
      <c r="C94" s="24" t="s">
        <v>25</v>
      </c>
      <c r="D94" s="24"/>
      <c r="E94" s="24"/>
      <c r="F94" s="24"/>
      <c r="G94" s="24"/>
      <c r="H94" s="24"/>
      <c r="I94" s="24"/>
      <c r="J94" s="24"/>
      <c r="K94" s="24"/>
      <c r="L94" s="24"/>
      <c r="M94" s="24"/>
    </row>
    <row r="95" spans="2:13" ht="6" customHeight="1"/>
    <row r="96" spans="2:13" ht="34" customHeight="1">
      <c r="B96" s="23"/>
      <c r="C96" s="24" t="s">
        <v>26</v>
      </c>
      <c r="D96" s="24"/>
      <c r="E96" s="24"/>
      <c r="F96" s="24"/>
      <c r="G96" s="24"/>
      <c r="H96" s="24"/>
      <c r="I96" s="24"/>
      <c r="J96" s="24"/>
      <c r="K96" s="24"/>
      <c r="L96" s="24"/>
      <c r="M96" s="24"/>
    </row>
    <row r="97" ht="6" customHeight="1"/>
  </sheetData>
  <mergeCells count="15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C92:M92"/>
    <mergeCell ref="C94:M94"/>
    <mergeCell ref="C96:M96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E50"/>
  <sheetViews>
    <sheetView showGridLines="0" workbookViewId="0"/>
  </sheetViews>
  <sheetFormatPr defaultRowHeight="15"/>
  <cols>
    <col min="1" max="1" width="3.140625" customWidth="1"/>
    <col min="2" max="2" width="22.7109375" customWidth="1"/>
    <col min="3" max="4" width="25.7109375" customWidth="1"/>
    <col min="5" max="5" width="3.140625" customWidth="1"/>
  </cols>
  <sheetData>
    <row r="1" spans="1:5" ht="12" customHeight="1">
      <c r="A1" s="1"/>
      <c r="B1" s="1"/>
      <c r="C1" s="1"/>
      <c r="D1" s="1"/>
      <c r="E1" s="1"/>
    </row>
    <row r="2" spans="1:5" ht="40" customHeight="1">
      <c r="A2" s="1"/>
      <c r="B2" s="2" t="s">
        <v>27</v>
      </c>
      <c r="C2" s="1"/>
      <c r="D2" s="1"/>
      <c r="E2" s="1"/>
    </row>
    <row r="3" spans="1:5" ht="22" customHeight="1">
      <c r="A3" s="1"/>
      <c r="B3" s="3" t="s">
        <v>1</v>
      </c>
      <c r="C3" s="1"/>
      <c r="D3" s="1"/>
      <c r="E3" s="1"/>
    </row>
    <row r="4" spans="1:5" ht="20" customHeight="1">
      <c r="A4" s="1"/>
      <c r="B4" s="4" t="s">
        <v>2</v>
      </c>
      <c r="C4" s="1"/>
      <c r="D4" s="1"/>
      <c r="E4" s="1"/>
    </row>
    <row r="5" spans="1:5" ht="5" customHeight="1">
      <c r="A5" s="5"/>
      <c r="B5" s="5"/>
      <c r="C5" s="5"/>
      <c r="D5" s="5"/>
      <c r="E5" s="5"/>
    </row>
    <row r="6" spans="1:5" ht="27" customHeight="1">
      <c r="B6" s="6" t="s">
        <v>28</v>
      </c>
      <c r="C6" s="7"/>
      <c r="D6" s="7"/>
    </row>
    <row r="7" spans="1:5" ht="36" customHeight="1">
      <c r="B7" s="17" t="s">
        <v>29</v>
      </c>
      <c r="C7" s="18" t="s">
        <v>30</v>
      </c>
      <c r="D7" s="18" t="s">
        <v>31</v>
      </c>
    </row>
    <row r="8" spans="1:5" ht="19" customHeight="1">
      <c r="B8" s="19" t="s">
        <v>32</v>
      </c>
      <c r="C8" s="20">
        <v>0</v>
      </c>
      <c r="D8" s="20">
        <v>0</v>
      </c>
    </row>
    <row r="9" spans="1:5" ht="19" customHeight="1">
      <c r="B9" s="21" t="s">
        <v>33</v>
      </c>
      <c r="C9" s="22">
        <v>0</v>
      </c>
      <c r="D9" s="22">
        <v>0</v>
      </c>
    </row>
    <row r="10" spans="1:5" ht="19" customHeight="1">
      <c r="B10" s="19" t="s">
        <v>34</v>
      </c>
      <c r="C10" s="20">
        <v>0</v>
      </c>
      <c r="D10" s="20">
        <v>0</v>
      </c>
    </row>
    <row r="11" spans="1:5" ht="19" customHeight="1">
      <c r="B11" s="21" t="s">
        <v>35</v>
      </c>
      <c r="C11" s="22">
        <v>0</v>
      </c>
      <c r="D11" s="22">
        <v>0</v>
      </c>
    </row>
    <row r="12" spans="1:5" ht="19" customHeight="1">
      <c r="B12" s="19" t="s">
        <v>36</v>
      </c>
      <c r="C12" s="20">
        <v>0</v>
      </c>
      <c r="D12" s="20">
        <v>0</v>
      </c>
    </row>
    <row r="13" spans="1:5" ht="19" customHeight="1">
      <c r="B13" s="21" t="s">
        <v>37</v>
      </c>
      <c r="C13" s="22">
        <v>0</v>
      </c>
      <c r="D13" s="22">
        <v>0</v>
      </c>
    </row>
    <row r="14" spans="1:5" ht="19" customHeight="1">
      <c r="B14" s="19" t="s">
        <v>38</v>
      </c>
      <c r="C14" s="20">
        <v>0</v>
      </c>
      <c r="D14" s="20">
        <v>0</v>
      </c>
    </row>
    <row r="15" spans="1:5" ht="19" customHeight="1">
      <c r="B15" s="21" t="s">
        <v>39</v>
      </c>
      <c r="C15" s="22">
        <v>0</v>
      </c>
      <c r="D15" s="22">
        <v>0</v>
      </c>
    </row>
    <row r="16" spans="1:5" ht="19" customHeight="1">
      <c r="B16" s="19" t="s">
        <v>40</v>
      </c>
      <c r="C16" s="20">
        <v>0</v>
      </c>
      <c r="D16" s="20">
        <v>0</v>
      </c>
    </row>
    <row r="17" spans="2:4" ht="19" customHeight="1">
      <c r="B17" s="21" t="s">
        <v>41</v>
      </c>
      <c r="C17" s="22">
        <v>0</v>
      </c>
      <c r="D17" s="22">
        <v>0</v>
      </c>
    </row>
    <row r="18" spans="2:4" ht="19" customHeight="1">
      <c r="B18" s="19" t="s">
        <v>42</v>
      </c>
      <c r="C18" s="20">
        <v>0</v>
      </c>
      <c r="D18" s="20">
        <v>0</v>
      </c>
    </row>
    <row r="19" spans="2:4" ht="19" customHeight="1">
      <c r="B19" s="21" t="s">
        <v>43</v>
      </c>
      <c r="C19" s="22">
        <v>0</v>
      </c>
      <c r="D19" s="22">
        <v>0</v>
      </c>
    </row>
    <row r="20" spans="2:4" ht="19" customHeight="1">
      <c r="B20" s="19" t="s">
        <v>44</v>
      </c>
      <c r="C20" s="20">
        <v>0</v>
      </c>
      <c r="D20" s="20">
        <v>0</v>
      </c>
    </row>
    <row r="21" spans="2:4" ht="19" customHeight="1">
      <c r="B21" s="21" t="s">
        <v>45</v>
      </c>
      <c r="C21" s="22">
        <v>0</v>
      </c>
      <c r="D21" s="22">
        <v>0</v>
      </c>
    </row>
    <row r="22" spans="2:4" ht="19" customHeight="1">
      <c r="B22" s="19" t="s">
        <v>46</v>
      </c>
      <c r="C22" s="20">
        <v>0</v>
      </c>
      <c r="D22" s="20">
        <v>0</v>
      </c>
    </row>
    <row r="23" spans="2:4" ht="19" customHeight="1">
      <c r="B23" s="21" t="s">
        <v>47</v>
      </c>
      <c r="C23" s="22">
        <v>0</v>
      </c>
      <c r="D23" s="22">
        <v>0</v>
      </c>
    </row>
    <row r="24" spans="2:4" ht="19" customHeight="1">
      <c r="B24" s="19" t="s">
        <v>48</v>
      </c>
      <c r="C24" s="20">
        <v>0</v>
      </c>
      <c r="D24" s="20">
        <v>0</v>
      </c>
    </row>
    <row r="25" spans="2:4" ht="19" customHeight="1">
      <c r="B25" s="21" t="s">
        <v>49</v>
      </c>
      <c r="C25" s="22">
        <v>0</v>
      </c>
      <c r="D25" s="22">
        <v>0</v>
      </c>
    </row>
    <row r="26" spans="2:4" ht="19" customHeight="1">
      <c r="B26" s="19" t="s">
        <v>50</v>
      </c>
      <c r="C26" s="20">
        <v>0</v>
      </c>
      <c r="D26" s="20">
        <v>0</v>
      </c>
    </row>
    <row r="27" spans="2:4" ht="19" customHeight="1">
      <c r="B27" s="21" t="s">
        <v>51</v>
      </c>
      <c r="C27" s="22">
        <v>0</v>
      </c>
      <c r="D27" s="22">
        <v>0</v>
      </c>
    </row>
    <row r="28" spans="2:4" ht="19" customHeight="1">
      <c r="B28" s="19" t="s">
        <v>52</v>
      </c>
      <c r="C28" s="20">
        <v>0</v>
      </c>
      <c r="D28" s="20">
        <v>0</v>
      </c>
    </row>
    <row r="29" spans="2:4" ht="19" customHeight="1">
      <c r="B29" s="21" t="s">
        <v>53</v>
      </c>
      <c r="C29" s="22">
        <v>0</v>
      </c>
      <c r="D29" s="22">
        <v>0</v>
      </c>
    </row>
    <row r="30" spans="2:4" ht="19" customHeight="1">
      <c r="B30" s="19" t="s">
        <v>54</v>
      </c>
      <c r="C30" s="20">
        <v>0</v>
      </c>
      <c r="D30" s="20">
        <v>0</v>
      </c>
    </row>
    <row r="31" spans="2:4" ht="19" customHeight="1">
      <c r="B31" s="21" t="s">
        <v>55</v>
      </c>
      <c r="C31" s="22">
        <v>0</v>
      </c>
      <c r="D31" s="22">
        <v>0</v>
      </c>
    </row>
    <row r="32" spans="2:4" ht="19" customHeight="1">
      <c r="B32" s="19" t="s">
        <v>56</v>
      </c>
      <c r="C32" s="20">
        <v>0</v>
      </c>
      <c r="D32" s="20">
        <v>0</v>
      </c>
    </row>
    <row r="33" spans="2:4" ht="19" customHeight="1">
      <c r="B33" s="21" t="s">
        <v>57</v>
      </c>
      <c r="C33" s="22">
        <v>0</v>
      </c>
      <c r="D33" s="22">
        <v>0</v>
      </c>
    </row>
    <row r="34" spans="2:4" ht="19" customHeight="1">
      <c r="B34" s="19" t="s">
        <v>58</v>
      </c>
      <c r="C34" s="20">
        <v>0</v>
      </c>
      <c r="D34" s="20">
        <v>0</v>
      </c>
    </row>
    <row r="35" spans="2:4" ht="19" customHeight="1">
      <c r="B35" s="21" t="s">
        <v>59</v>
      </c>
      <c r="C35" s="22">
        <v>0</v>
      </c>
      <c r="D35" s="22">
        <v>0</v>
      </c>
    </row>
    <row r="36" spans="2:4" ht="19" customHeight="1">
      <c r="B36" s="19" t="s">
        <v>60</v>
      </c>
      <c r="C36" s="20">
        <v>0</v>
      </c>
      <c r="D36" s="20">
        <v>0</v>
      </c>
    </row>
    <row r="37" spans="2:4" ht="19" customHeight="1">
      <c r="B37" s="21" t="s">
        <v>61</v>
      </c>
      <c r="C37" s="22">
        <v>0</v>
      </c>
      <c r="D37" s="22">
        <v>0</v>
      </c>
    </row>
    <row r="38" spans="2:4" ht="19" customHeight="1">
      <c r="B38" s="19" t="s">
        <v>62</v>
      </c>
      <c r="C38" s="20">
        <v>0</v>
      </c>
      <c r="D38" s="20">
        <v>0</v>
      </c>
    </row>
    <row r="39" spans="2:4" ht="19" customHeight="1">
      <c r="B39" s="21" t="s">
        <v>63</v>
      </c>
      <c r="C39" s="22">
        <v>0</v>
      </c>
      <c r="D39" s="22">
        <v>0</v>
      </c>
    </row>
    <row r="40" spans="2:4" ht="19" customHeight="1">
      <c r="B40" s="19" t="s">
        <v>64</v>
      </c>
      <c r="C40" s="20">
        <v>2</v>
      </c>
      <c r="D40" s="20">
        <v>2</v>
      </c>
    </row>
    <row r="41" spans="2:4" ht="19" customHeight="1">
      <c r="B41" s="21" t="s">
        <v>65</v>
      </c>
      <c r="C41" s="22">
        <v>0</v>
      </c>
      <c r="D41" s="22">
        <v>2</v>
      </c>
    </row>
    <row r="42" spans="2:4" ht="19" customHeight="1">
      <c r="B42" s="19" t="s">
        <v>66</v>
      </c>
      <c r="C42" s="20">
        <v>0</v>
      </c>
      <c r="D42" s="20">
        <v>2</v>
      </c>
    </row>
    <row r="43" spans="2:4" ht="19" customHeight="1">
      <c r="B43" s="21" t="s">
        <v>67</v>
      </c>
      <c r="C43" s="22">
        <v>2</v>
      </c>
      <c r="D43" s="22">
        <v>4</v>
      </c>
    </row>
    <row r="44" spans="2:4" ht="19" customHeight="1">
      <c r="B44" s="19" t="s">
        <v>68</v>
      </c>
      <c r="C44" s="20">
        <v>6</v>
      </c>
      <c r="D44" s="20">
        <v>10</v>
      </c>
    </row>
    <row r="45" spans="2:4" ht="19" customHeight="1">
      <c r="B45" s="21" t="s">
        <v>69</v>
      </c>
      <c r="C45" s="22">
        <v>0</v>
      </c>
      <c r="D45" s="22">
        <v>10</v>
      </c>
    </row>
    <row r="46" spans="2:4" ht="19" customHeight="1">
      <c r="B46" s="19" t="s">
        <v>70</v>
      </c>
      <c r="C46" s="20">
        <v>0</v>
      </c>
      <c r="D46" s="20">
        <v>10</v>
      </c>
    </row>
    <row r="47" spans="2:4" ht="19" customHeight="1">
      <c r="B47" s="21" t="s">
        <v>71</v>
      </c>
      <c r="C47" s="22">
        <v>0</v>
      </c>
      <c r="D47" s="22">
        <v>10</v>
      </c>
    </row>
    <row r="48" spans="2:4" ht="19" customHeight="1">
      <c r="B48" s="19" t="s">
        <v>72</v>
      </c>
      <c r="C48" s="20">
        <v>0</v>
      </c>
      <c r="D48" s="20">
        <v>10</v>
      </c>
    </row>
    <row r="49" spans="2:4" ht="19" customHeight="1">
      <c r="B49" s="21" t="s">
        <v>73</v>
      </c>
      <c r="C49" s="22">
        <v>0</v>
      </c>
      <c r="D49" s="22">
        <v>10</v>
      </c>
    </row>
    <row r="50" spans="2:4" ht="19" customHeight="1">
      <c r="B50" s="19" t="s">
        <v>74</v>
      </c>
      <c r="C50" s="20">
        <v>0</v>
      </c>
      <c r="D50" s="20">
        <v>10</v>
      </c>
    </row>
  </sheetData>
  <autoFilter ref="B7:D5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17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16.7109375" customWidth="1"/>
    <col min="4" max="5" width="22.7109375" customWidth="1"/>
    <col min="6" max="6" width="18.7109375" customWidth="1"/>
    <col min="7" max="7" width="60.7109375" customWidth="1"/>
    <col min="8" max="8" width="38.7109375" customWidth="1"/>
    <col min="9" max="9" width="80.7109375" customWidth="1"/>
    <col min="10" max="10" width="24.7109375" customWidth="1"/>
    <col min="11" max="11" width="16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ht="27" customHeight="1">
      <c r="B6" s="6" t="s">
        <v>75</v>
      </c>
      <c r="C6" s="7"/>
      <c r="D6" s="7"/>
      <c r="E6" s="7"/>
      <c r="F6" s="7"/>
      <c r="G6" s="7"/>
      <c r="H6" s="7"/>
      <c r="I6" s="7"/>
      <c r="J6" s="7"/>
      <c r="K6" s="8" t="s">
        <v>24</v>
      </c>
    </row>
    <row r="7" spans="1:12" ht="36" customHeight="1">
      <c r="B7" s="17" t="s">
        <v>76</v>
      </c>
      <c r="C7" s="25" t="s">
        <v>77</v>
      </c>
      <c r="D7" s="25" t="s">
        <v>78</v>
      </c>
      <c r="E7" s="25" t="s">
        <v>79</v>
      </c>
      <c r="F7" s="25" t="s">
        <v>80</v>
      </c>
      <c r="G7" s="25" t="s">
        <v>81</v>
      </c>
      <c r="H7" s="25" t="s">
        <v>82</v>
      </c>
      <c r="I7" s="25" t="s">
        <v>83</v>
      </c>
      <c r="J7" s="25" t="s">
        <v>84</v>
      </c>
      <c r="K7" s="25" t="s">
        <v>85</v>
      </c>
    </row>
    <row r="8" spans="1:12" ht="48" customHeight="1">
      <c r="B8" s="19" t="s">
        <v>86</v>
      </c>
      <c r="C8" s="26" t="s">
        <v>68</v>
      </c>
      <c r="D8" s="26" t="s">
        <v>16</v>
      </c>
      <c r="E8" s="26" t="s">
        <v>87</v>
      </c>
      <c r="F8" s="26" t="s">
        <v>88</v>
      </c>
      <c r="G8" s="26" t="s">
        <v>89</v>
      </c>
      <c r="H8" s="26" t="s">
        <v>20</v>
      </c>
      <c r="I8" s="26" t="s">
        <v>90</v>
      </c>
      <c r="J8" s="26" t="s">
        <v>91</v>
      </c>
      <c r="K8" s="26" t="s">
        <v>92</v>
      </c>
    </row>
    <row r="9" spans="1:12" ht="48" customHeight="1">
      <c r="B9" s="21" t="s">
        <v>93</v>
      </c>
      <c r="C9" s="27" t="s">
        <v>68</v>
      </c>
      <c r="D9" s="27" t="s">
        <v>16</v>
      </c>
      <c r="E9" s="27" t="s">
        <v>87</v>
      </c>
      <c r="F9" s="27" t="s">
        <v>94</v>
      </c>
      <c r="G9" s="27" t="s">
        <v>95</v>
      </c>
      <c r="H9" s="27" t="s">
        <v>20</v>
      </c>
      <c r="I9" s="27" t="s">
        <v>96</v>
      </c>
      <c r="J9" s="27" t="s">
        <v>91</v>
      </c>
      <c r="K9" s="27" t="s">
        <v>92</v>
      </c>
    </row>
    <row r="10" spans="1:12" ht="48" customHeight="1">
      <c r="B10" s="19" t="s">
        <v>97</v>
      </c>
      <c r="C10" s="26" t="s">
        <v>68</v>
      </c>
      <c r="D10" s="26" t="s">
        <v>16</v>
      </c>
      <c r="E10" s="26" t="s">
        <v>87</v>
      </c>
      <c r="F10" s="26" t="s">
        <v>98</v>
      </c>
      <c r="G10" s="26" t="s">
        <v>99</v>
      </c>
      <c r="H10" s="26" t="s">
        <v>20</v>
      </c>
      <c r="I10" s="26" t="s">
        <v>100</v>
      </c>
      <c r="J10" s="26" t="s">
        <v>91</v>
      </c>
      <c r="K10" s="26" t="s">
        <v>92</v>
      </c>
    </row>
    <row r="11" spans="1:12" ht="48" customHeight="1">
      <c r="B11" s="21" t="s">
        <v>101</v>
      </c>
      <c r="C11" s="27" t="s">
        <v>68</v>
      </c>
      <c r="D11" s="27" t="s">
        <v>16</v>
      </c>
      <c r="E11" s="27" t="s">
        <v>87</v>
      </c>
      <c r="F11" s="27" t="s">
        <v>102</v>
      </c>
      <c r="G11" s="27" t="s">
        <v>103</v>
      </c>
      <c r="H11" s="27" t="s">
        <v>20</v>
      </c>
      <c r="I11" s="27" t="s">
        <v>104</v>
      </c>
      <c r="J11" s="27" t="s">
        <v>91</v>
      </c>
      <c r="K11" s="27" t="s">
        <v>92</v>
      </c>
    </row>
    <row r="12" spans="1:12" ht="48" customHeight="1">
      <c r="B12" s="19" t="s">
        <v>105</v>
      </c>
      <c r="C12" s="26" t="s">
        <v>68</v>
      </c>
      <c r="D12" s="26" t="s">
        <v>17</v>
      </c>
      <c r="E12" s="26" t="s">
        <v>106</v>
      </c>
      <c r="F12" s="26" t="s">
        <v>107</v>
      </c>
      <c r="G12" s="26" t="s">
        <v>108</v>
      </c>
      <c r="H12" s="26" t="s">
        <v>20</v>
      </c>
      <c r="I12" s="26" t="s">
        <v>109</v>
      </c>
      <c r="J12" s="26" t="s">
        <v>110</v>
      </c>
      <c r="K12" s="26" t="s">
        <v>92</v>
      </c>
    </row>
    <row r="13" spans="1:12" ht="48" customHeight="1">
      <c r="B13" s="21" t="s">
        <v>111</v>
      </c>
      <c r="C13" s="27" t="s">
        <v>68</v>
      </c>
      <c r="D13" s="27" t="s">
        <v>17</v>
      </c>
      <c r="E13" s="27" t="s">
        <v>106</v>
      </c>
      <c r="F13" s="27" t="s">
        <v>112</v>
      </c>
      <c r="G13" s="27" t="s">
        <v>113</v>
      </c>
      <c r="H13" s="27" t="s">
        <v>20</v>
      </c>
      <c r="I13" s="27" t="s">
        <v>109</v>
      </c>
      <c r="J13" s="27" t="s">
        <v>110</v>
      </c>
      <c r="K13" s="27" t="s">
        <v>92</v>
      </c>
    </row>
    <row r="14" spans="1:12" ht="48" customHeight="1">
      <c r="B14" s="19" t="s">
        <v>114</v>
      </c>
      <c r="C14" s="26" t="s">
        <v>67</v>
      </c>
      <c r="D14" s="26" t="s">
        <v>16</v>
      </c>
      <c r="E14" s="26" t="s">
        <v>115</v>
      </c>
      <c r="F14" s="26" t="s">
        <v>116</v>
      </c>
      <c r="G14" s="26" t="s">
        <v>117</v>
      </c>
      <c r="H14" s="26" t="s">
        <v>20</v>
      </c>
      <c r="I14" s="26" t="s">
        <v>118</v>
      </c>
      <c r="J14" s="26" t="s">
        <v>91</v>
      </c>
      <c r="K14" s="26" t="s">
        <v>92</v>
      </c>
    </row>
    <row r="15" spans="1:12" ht="48" customHeight="1">
      <c r="B15" s="21" t="s">
        <v>119</v>
      </c>
      <c r="C15" s="27" t="s">
        <v>67</v>
      </c>
      <c r="D15" s="27" t="s">
        <v>16</v>
      </c>
      <c r="E15" s="27" t="s">
        <v>115</v>
      </c>
      <c r="F15" s="27" t="s">
        <v>120</v>
      </c>
      <c r="G15" s="27" t="s">
        <v>121</v>
      </c>
      <c r="H15" s="27" t="s">
        <v>20</v>
      </c>
      <c r="I15" s="27" t="s">
        <v>118</v>
      </c>
      <c r="J15" s="27" t="s">
        <v>91</v>
      </c>
      <c r="K15" s="27" t="s">
        <v>92</v>
      </c>
    </row>
    <row r="16" spans="1:12" ht="48" customHeight="1">
      <c r="B16" s="19" t="s">
        <v>122</v>
      </c>
      <c r="C16" s="26" t="s">
        <v>64</v>
      </c>
      <c r="D16" s="26" t="s">
        <v>18</v>
      </c>
      <c r="E16" s="26" t="s">
        <v>123</v>
      </c>
      <c r="F16" s="26" t="s">
        <v>124</v>
      </c>
      <c r="G16" s="26" t="s">
        <v>125</v>
      </c>
      <c r="H16" s="26" t="s">
        <v>21</v>
      </c>
      <c r="I16" s="26" t="s">
        <v>126</v>
      </c>
      <c r="J16" s="26" t="s">
        <v>91</v>
      </c>
      <c r="K16" s="26" t="s">
        <v>92</v>
      </c>
    </row>
    <row r="17" spans="2:11" ht="48" customHeight="1">
      <c r="B17" s="21" t="s">
        <v>127</v>
      </c>
      <c r="C17" s="27" t="s">
        <v>64</v>
      </c>
      <c r="D17" s="27" t="s">
        <v>18</v>
      </c>
      <c r="E17" s="27" t="s">
        <v>123</v>
      </c>
      <c r="F17" s="27" t="s">
        <v>128</v>
      </c>
      <c r="G17" s="27" t="s">
        <v>129</v>
      </c>
      <c r="H17" s="27" t="s">
        <v>21</v>
      </c>
      <c r="I17" s="27" t="s">
        <v>126</v>
      </c>
      <c r="J17" s="27" t="s">
        <v>91</v>
      </c>
      <c r="K17" s="27" t="s">
        <v>92</v>
      </c>
    </row>
  </sheetData>
  <autoFilter ref="B7:K1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15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55.7109375" customWidth="1"/>
    <col min="4" max="4" width="16.7109375" customWidth="1"/>
    <col min="5" max="5" width="25.7109375" customWidth="1"/>
    <col min="6" max="6" width="24.7109375" customWidth="1"/>
    <col min="7" max="7" width="27.7109375" customWidth="1"/>
    <col min="8" max="8" width="2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130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131</v>
      </c>
      <c r="C6" s="7"/>
      <c r="D6" s="7"/>
      <c r="E6" s="7"/>
      <c r="F6" s="7"/>
      <c r="G6" s="7"/>
      <c r="H6" s="7"/>
    </row>
    <row r="7" spans="1:9" ht="36" customHeight="1">
      <c r="B7" s="17" t="s">
        <v>78</v>
      </c>
      <c r="C7" s="25" t="s">
        <v>132</v>
      </c>
      <c r="D7" s="18" t="s">
        <v>133</v>
      </c>
      <c r="E7" s="18" t="s">
        <v>134</v>
      </c>
      <c r="F7" s="18" t="s">
        <v>135</v>
      </c>
      <c r="G7" s="18" t="s">
        <v>136</v>
      </c>
      <c r="H7" s="18" t="s">
        <v>137</v>
      </c>
    </row>
    <row r="8" spans="1:9" ht="19" customHeight="1">
      <c r="B8" s="19" t="s">
        <v>138</v>
      </c>
      <c r="C8" s="26" t="s">
        <v>139</v>
      </c>
      <c r="D8" s="20">
        <v>197</v>
      </c>
      <c r="E8" s="20">
        <v>1</v>
      </c>
      <c r="F8" s="28">
        <v>303.99</v>
      </c>
      <c r="G8" s="20">
        <v>0</v>
      </c>
      <c r="H8" s="28">
        <v>0</v>
      </c>
    </row>
    <row r="9" spans="1:9" ht="19" customHeight="1">
      <c r="B9" s="21" t="s">
        <v>17</v>
      </c>
      <c r="C9" s="27" t="s">
        <v>106</v>
      </c>
      <c r="D9" s="22">
        <v>0</v>
      </c>
      <c r="E9" s="22">
        <v>0</v>
      </c>
      <c r="F9" s="29">
        <v>0</v>
      </c>
      <c r="G9" s="22">
        <v>181</v>
      </c>
      <c r="H9" s="29">
        <v>55022.19</v>
      </c>
    </row>
    <row r="10" spans="1:9" ht="19" customHeight="1">
      <c r="B10" s="19" t="s">
        <v>140</v>
      </c>
      <c r="C10" s="26" t="s">
        <v>140</v>
      </c>
      <c r="D10" s="20">
        <v>150</v>
      </c>
      <c r="E10" s="20">
        <v>0</v>
      </c>
      <c r="F10" s="28">
        <v>0</v>
      </c>
      <c r="G10" s="20">
        <v>530</v>
      </c>
      <c r="H10" s="28">
        <v>160558.2</v>
      </c>
    </row>
    <row r="11" spans="1:9" ht="19" customHeight="1">
      <c r="B11" s="21" t="s">
        <v>16</v>
      </c>
      <c r="C11" s="27" t="s">
        <v>141</v>
      </c>
      <c r="D11" s="22">
        <v>400</v>
      </c>
      <c r="E11" s="22">
        <v>67</v>
      </c>
      <c r="F11" s="29">
        <v>19264.51</v>
      </c>
      <c r="G11" s="22">
        <v>344</v>
      </c>
      <c r="H11" s="29">
        <v>104246.01</v>
      </c>
    </row>
    <row r="12" spans="1:9" ht="19" customHeight="1">
      <c r="B12" s="19" t="s">
        <v>142</v>
      </c>
      <c r="C12" s="26"/>
      <c r="D12" s="20">
        <v>0</v>
      </c>
      <c r="E12" s="20">
        <v>0</v>
      </c>
      <c r="F12" s="28">
        <v>0</v>
      </c>
      <c r="G12" s="20">
        <v>5</v>
      </c>
      <c r="H12" s="28">
        <v>1519.95</v>
      </c>
    </row>
    <row r="13" spans="1:9" ht="19" customHeight="1">
      <c r="B13" s="21" t="s">
        <v>143</v>
      </c>
      <c r="C13" s="27"/>
      <c r="D13" s="22">
        <v>0</v>
      </c>
      <c r="E13" s="22">
        <v>0</v>
      </c>
      <c r="F13" s="29">
        <v>0</v>
      </c>
      <c r="G13" s="22">
        <v>109</v>
      </c>
      <c r="H13" s="29">
        <v>33033.06</v>
      </c>
    </row>
    <row r="14" spans="1:9" ht="19" customHeight="1">
      <c r="B14" s="19" t="s">
        <v>18</v>
      </c>
      <c r="C14" s="26" t="s">
        <v>144</v>
      </c>
      <c r="D14" s="20">
        <v>55</v>
      </c>
      <c r="E14" s="20">
        <v>45</v>
      </c>
      <c r="F14" s="28">
        <v>13632.3</v>
      </c>
      <c r="G14" s="20">
        <v>0</v>
      </c>
      <c r="H14" s="28">
        <v>0</v>
      </c>
    </row>
    <row r="15" spans="1:9" ht="22" customHeight="1">
      <c r="B15" s="30" t="s">
        <v>145</v>
      </c>
      <c r="C15" s="31"/>
      <c r="D15" s="32">
        <f>SUM(D8:D14)</f>
        <v>802</v>
      </c>
      <c r="E15" s="32">
        <f>SUM(E8:E14)</f>
        <v>113</v>
      </c>
      <c r="F15" s="33">
        <f>SUM(F8:F14)</f>
        <v>33200.799999999996</v>
      </c>
      <c r="G15" s="32">
        <f>SUM(G8:G14)</f>
        <v>1169</v>
      </c>
      <c r="H15" s="33">
        <f>SUM(H8:H14)</f>
        <v>354379.41000000003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20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4" width="35.7109375" customWidth="1"/>
    <col min="5" max="5" width="2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146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6" spans="1:6" ht="27" customHeight="1">
      <c r="B6" s="6" t="s">
        <v>147</v>
      </c>
      <c r="C6" s="7"/>
      <c r="D6" s="7"/>
      <c r="E6" s="8" t="s">
        <v>148</v>
      </c>
    </row>
    <row r="7" spans="1:6" ht="36" customHeight="1">
      <c r="B7" s="17" t="s">
        <v>29</v>
      </c>
      <c r="C7" s="25" t="s">
        <v>78</v>
      </c>
      <c r="D7" s="25" t="s">
        <v>79</v>
      </c>
      <c r="E7" s="18" t="s">
        <v>133</v>
      </c>
    </row>
    <row r="8" spans="1:6" ht="19" customHeight="1">
      <c r="B8" s="19" t="s">
        <v>72</v>
      </c>
      <c r="C8" s="26" t="s">
        <v>140</v>
      </c>
      <c r="D8" s="26" t="s">
        <v>140</v>
      </c>
      <c r="E8" s="20">
        <v>150</v>
      </c>
    </row>
    <row r="9" spans="1:6" ht="19" customHeight="1">
      <c r="B9" s="21" t="s">
        <v>72</v>
      </c>
      <c r="C9" s="27" t="s">
        <v>16</v>
      </c>
      <c r="D9" s="27" t="s">
        <v>149</v>
      </c>
      <c r="E9" s="22">
        <v>100</v>
      </c>
    </row>
    <row r="10" spans="1:6" ht="19" customHeight="1">
      <c r="B10" s="19" t="s">
        <v>72</v>
      </c>
      <c r="C10" s="26" t="s">
        <v>138</v>
      </c>
      <c r="D10" s="26" t="s">
        <v>139</v>
      </c>
      <c r="E10" s="20">
        <v>100</v>
      </c>
    </row>
    <row r="11" spans="1:6" ht="19" customHeight="1">
      <c r="B11" s="21" t="s">
        <v>72</v>
      </c>
      <c r="C11" s="27" t="s">
        <v>138</v>
      </c>
      <c r="D11" s="27" t="s">
        <v>139</v>
      </c>
      <c r="E11" s="22">
        <v>97</v>
      </c>
    </row>
    <row r="12" spans="1:6" ht="19" customHeight="1">
      <c r="B12" s="19" t="s">
        <v>72</v>
      </c>
      <c r="C12" s="26" t="s">
        <v>18</v>
      </c>
      <c r="D12" s="26" t="s">
        <v>150</v>
      </c>
      <c r="E12" s="20">
        <v>30</v>
      </c>
    </row>
    <row r="13" spans="1:6" ht="19" customHeight="1">
      <c r="B13" s="21" t="s">
        <v>72</v>
      </c>
      <c r="C13" s="27" t="s">
        <v>18</v>
      </c>
      <c r="D13" s="27" t="s">
        <v>150</v>
      </c>
      <c r="E13" s="22">
        <v>25</v>
      </c>
    </row>
    <row r="14" spans="1:6" ht="19" customHeight="1">
      <c r="B14" s="19" t="s">
        <v>73</v>
      </c>
      <c r="C14" s="26" t="s">
        <v>16</v>
      </c>
      <c r="D14" s="26" t="s">
        <v>87</v>
      </c>
      <c r="E14" s="20">
        <v>300</v>
      </c>
    </row>
    <row r="15" spans="1:6" ht="22" customHeight="1">
      <c r="B15" s="30" t="s">
        <v>145</v>
      </c>
      <c r="C15" s="31"/>
      <c r="D15" s="31"/>
      <c r="E15" s="32">
        <f>SUM(E8:E14)</f>
        <v>802</v>
      </c>
    </row>
    <row r="18" spans="2:5" ht="27" customHeight="1">
      <c r="B18" s="6" t="s">
        <v>151</v>
      </c>
      <c r="C18" s="7"/>
      <c r="D18" s="7"/>
      <c r="E18" s="8" t="s">
        <v>152</v>
      </c>
    </row>
    <row r="19" spans="2:5" ht="36" customHeight="1">
      <c r="B19" s="34" t="s">
        <v>153</v>
      </c>
      <c r="C19" s="18" t="s">
        <v>154</v>
      </c>
      <c r="D19" s="18" t="s">
        <v>155</v>
      </c>
    </row>
    <row r="20" spans="2:5" ht="19" customHeight="1">
      <c r="B20" s="35">
        <v>145523</v>
      </c>
      <c r="C20" s="20">
        <v>44098</v>
      </c>
      <c r="D20" s="28">
        <v>13405351.02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156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36" t="s">
        <v>157</v>
      </c>
      <c r="C6" s="37" t="s">
        <v>4</v>
      </c>
    </row>
    <row r="7" spans="1:4" ht="32" customHeight="1">
      <c r="B7" s="36" t="s">
        <v>158</v>
      </c>
      <c r="C7" s="37" t="s">
        <v>159</v>
      </c>
    </row>
    <row r="8" spans="1:4" ht="32" customHeight="1">
      <c r="B8" s="36" t="s">
        <v>160</v>
      </c>
      <c r="C8" s="37" t="s">
        <v>161</v>
      </c>
    </row>
    <row r="9" spans="1:4" ht="42" customHeight="1">
      <c r="B9" s="36" t="s">
        <v>162</v>
      </c>
      <c r="C9" s="37" t="s">
        <v>163</v>
      </c>
    </row>
    <row r="10" spans="1:4" ht="57" customHeight="1">
      <c r="B10" s="36" t="s">
        <v>164</v>
      </c>
      <c r="C10" s="37" t="s">
        <v>24</v>
      </c>
    </row>
    <row r="11" spans="1:4" ht="32" customHeight="1">
      <c r="B11" s="36" t="s">
        <v>165</v>
      </c>
      <c r="C11" s="37" t="s">
        <v>166</v>
      </c>
    </row>
    <row r="12" spans="1:4" ht="102" customHeight="1">
      <c r="B12" s="36" t="s">
        <v>15</v>
      </c>
      <c r="C12" s="37" t="s">
        <v>167</v>
      </c>
    </row>
    <row r="13" spans="1:4" ht="57" customHeight="1">
      <c r="B13" s="36" t="s">
        <v>168</v>
      </c>
      <c r="C13" s="37" t="s">
        <v>169</v>
      </c>
    </row>
    <row r="14" spans="1:4" ht="42" customHeight="1">
      <c r="B14" s="36" t="s">
        <v>133</v>
      </c>
      <c r="C14" s="37" t="s">
        <v>148</v>
      </c>
    </row>
    <row r="15" spans="1:4" ht="72" customHeight="1">
      <c r="B15" s="36" t="s">
        <v>170</v>
      </c>
      <c r="C15" s="37" t="s">
        <v>171</v>
      </c>
    </row>
    <row r="16" spans="1:4" ht="42" customHeight="1">
      <c r="B16" s="36" t="s">
        <v>172</v>
      </c>
      <c r="C16" s="37" t="s">
        <v>173</v>
      </c>
    </row>
  </sheetData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Resumen</vt:lpstr>
      <vt:lpstr>Evolución</vt:lpstr>
      <vt:lpstr>Alertas</vt:lpstr>
      <vt:lpstr>Provincias</vt:lpstr>
      <vt:lpstr>Kits y bono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2026-10-26T21:57:14Z</dcterms:created>
  <dcterms:modified xsi:type="dcterms:W3CDTF">2026-10-26T21:57:14Z</dcterms:modified>
  <cp:category>Indicadores estratégicos</cp:category>
</cp:coreProperties>
</file>